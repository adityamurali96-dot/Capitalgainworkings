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12"/>
  <workbookPr filterPrivacy="1"/>
  <xr:revisionPtr revIDLastSave="0" documentId="13_ncr:1_{1415C8D2-C9AF-4B30-88E1-3D3044D62679}" xr6:coauthVersionLast="47" xr6:coauthVersionMax="47" xr10:uidLastSave="{00000000-0000-0000-0000-000000000000}"/>
  <bookViews>
    <workbookView xWindow="-108" yWindow="-108" windowWidth="18648" windowHeight="11784" xr2:uid="{00000000-000D-0000-FFFF-FFFF00000000}"/>
  </bookViews>
  <sheets>
    <sheet name="Gain &amp; Los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 l="1"/>
  <c r="D17" i="1" s="1"/>
  <c r="Q13" i="1"/>
  <c r="P13" i="1"/>
  <c r="O13" i="1"/>
  <c r="N13" i="1"/>
  <c r="M13" i="1"/>
  <c r="L13" i="1"/>
  <c r="K13" i="1"/>
  <c r="J13" i="1"/>
  <c r="I13" i="1"/>
  <c r="D18" i="1" s="1"/>
  <c r="H13" i="1"/>
  <c r="G13" i="1"/>
  <c r="F13" i="1"/>
  <c r="E13" i="1"/>
  <c r="D13" i="1"/>
</calcChain>
</file>

<file path=xl/sharedStrings.xml><?xml version="1.0" encoding="utf-8"?>
<sst xmlns="http://schemas.openxmlformats.org/spreadsheetml/2006/main" count="66" uniqueCount="61">
  <si>
    <t>Client Name</t>
  </si>
  <si>
    <t>RAMAKRISHNA K V</t>
  </si>
  <si>
    <t>Realised P&amp;L</t>
  </si>
  <si>
    <t>6241987.51</t>
  </si>
  <si>
    <t>Equity Turnover</t>
  </si>
  <si>
    <t>8245967.61</t>
  </si>
  <si>
    <t>Client Code</t>
  </si>
  <si>
    <t>7SD34</t>
  </si>
  <si>
    <t>Charges</t>
  </si>
  <si>
    <t>19750.68</t>
  </si>
  <si>
    <t>Futures Turnover</t>
  </si>
  <si>
    <t>0.00</t>
  </si>
  <si>
    <t>Transaction Period</t>
  </si>
  <si>
    <t>From : 2024-04-01 To : 2025-03-31</t>
  </si>
  <si>
    <t>Net P&amp;L</t>
  </si>
  <si>
    <t>6233951.58</t>
  </si>
  <si>
    <t>Options Turnover</t>
  </si>
  <si>
    <t>Transaction Type</t>
  </si>
  <si>
    <t>ALL</t>
  </si>
  <si>
    <t>Script Name</t>
  </si>
  <si>
    <t>Security Type</t>
  </si>
  <si>
    <t>ISIN</t>
  </si>
  <si>
    <t>Qty</t>
  </si>
  <si>
    <t>Buy Amt. (A)</t>
  </si>
  <si>
    <t>Sell Amt. (B)</t>
  </si>
  <si>
    <t>Gross Realized P&amp;L
(Including all charges Excluding STT)</t>
  </si>
  <si>
    <t>Net P&amp;L (T - S)
(Including All charges)</t>
  </si>
  <si>
    <t>Gross P&amp;L (T + (C + D + E))
(Excluding All Charges)</t>
  </si>
  <si>
    <t>Intraday</t>
  </si>
  <si>
    <t>&lt;1yr.</t>
  </si>
  <si>
    <t>&gt;1Yr.</t>
  </si>
  <si>
    <t>Total
(T = B - A)</t>
  </si>
  <si>
    <t>GST (C)</t>
  </si>
  <si>
    <t>Brokerage (D)</t>
  </si>
  <si>
    <t>Misc. (E)</t>
  </si>
  <si>
    <t>STT/CTT (S)</t>
  </si>
  <si>
    <t>Total (C + D + E + S)</t>
  </si>
  <si>
    <t>Equity</t>
  </si>
  <si>
    <t>Ideaforge Technology Ltd</t>
  </si>
  <si>
    <t>EQUITY STOCK</t>
  </si>
  <si>
    <t xml:space="preserve">INE349Y01013   </t>
  </si>
  <si>
    <t>Kotak Mahindra Bank Ltd</t>
  </si>
  <si>
    <t xml:space="preserve">INE237A01028   </t>
  </si>
  <si>
    <t>Tata Motors-DVR</t>
  </si>
  <si>
    <t xml:space="preserve">IN9155A01020   </t>
  </si>
  <si>
    <t>Equity Total</t>
  </si>
  <si>
    <t/>
  </si>
  <si>
    <t xml:space="preserve"> </t>
  </si>
  <si>
    <t>Acquisition price of IdeaForge (Rs./share)</t>
  </si>
  <si>
    <t>Cost price of 5306 shares of Ideaforge (Rs.)</t>
  </si>
  <si>
    <t>Adjusted Longterm Capital Gains (Rs.)</t>
  </si>
  <si>
    <t>Disclaimer</t>
  </si>
  <si>
    <t>Gain amount has been calculated as per the new Income Tax rules for calculation of Long Term Capital Gain tax post grand fathering.</t>
  </si>
  <si>
    <t>GST is 18% of Brokerage + GST on other charges as applicable.</t>
  </si>
  <si>
    <t>Miscellaneous charges are all other charges/levies except brokerage &amp; GST which may include clearing charges, stamp Duty, SEBI fee etc. as applicable.</t>
  </si>
  <si>
    <t>Gain-Loss Calculation accounts for all charges except STT &amp; CTT.</t>
  </si>
  <si>
    <t>F&amp;O Turnover is the sum of all the absolute value of profits &amp; losses of every trade done during the period.</t>
  </si>
  <si>
    <t>In case of transactions where the cost price has been updated by the customer via the Price Update (Off-Market-Transfer) module, Kotak Securities cannot verify the P&amp;L authenticity for the same.</t>
  </si>
  <si>
    <t>This report has been provided based on the Depository and trading transactions executed by you with Kotak Securities Ltd. (KSL) and is provided for your personal reference and ease only. This report does not cover other ledger debits such as DP Charges, delayed payment charges, etc. which may affect the correctness of this report. This report shall not be used for the purpose of calculation of your Income Tax Liability and any other purpose. You are advised to take help of Professional Tax Advisor and to refer the Contract Notes, Demat Transactions Statements and Ledger Statements for arriving at your actual Profit &amp; Loss. KSL, its Directors and Employees shall not be held responsible for erroneous Gain/Loss Calculations and shall not be answerable/liable for any action, losses, claims, cost, damages, charges, penalties, etc. initiated by any authority basis this report.</t>
  </si>
  <si>
    <t>According to the new income tax laws of the Indian government, no taxes will be applicable on buyback transactions until September 30, 2024. However, starting from October 1, 2024, taxes will be applicable on such transactions.</t>
  </si>
  <si>
    <t>Capital gains entries may arise from certain corporate actions where the P&amp;L value is indicated as "NA." Please disregard these entries while filing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</si>
</sst>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7">
    <font>
      <sz val="11"/>
      <color theme="1"/>
      <name val="Calibri"/>
      <family val="2"/>
      <scheme val="minor"/>
    </font>
    <font>
      <sz val="11"/>
      <color rgb="FF0D4582"/>
      <name val="Calibri"/>
    </font>
    <font>
      <b/>
      <sz val="10"/>
      <color rgb="FFFFFFFF"/>
      <name val="Calibri"/>
    </font>
    <font>
      <b/>
      <i/>
      <sz val="11"/>
      <color rgb="FFFFFFFF"/>
      <name val="Calibri"/>
    </font>
    <font>
      <b/>
      <i/>
      <sz val="11"/>
      <name val="Calibri"/>
    </font>
    <font>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rgb="FF0D4582"/>
      </patternFill>
    </fill>
    <fill>
      <patternFill patternType="solid">
        <fgColor rgb="FFFA474D"/>
      </patternFill>
    </fill>
    <fill>
      <patternFill patternType="solid">
        <fgColor rgb="FF538DD5"/>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164" fontId="5" fillId="0" borderId="0" applyFont="0" applyFill="0" applyBorder="0" applyAlignment="0" applyProtection="0"/>
  </cellStyleXfs>
  <cellXfs count="19">
    <xf numFmtId="0" fontId="0" fillId="0" borderId="0" xfId="0"/>
    <xf numFmtId="0" fontId="0" fillId="0" borderId="1" xfId="0" applyBorder="1"/>
    <xf numFmtId="0" fontId="0" fillId="0" borderId="1" xfId="0" applyBorder="1" applyAlignment="1">
      <alignment vertical="center" wrapText="1"/>
    </xf>
    <xf numFmtId="0" fontId="2" fillId="0" borderId="0" xfId="0" applyFont="1"/>
    <xf numFmtId="0" fontId="2" fillId="2" borderId="1" xfId="0" applyFont="1" applyFill="1" applyBorder="1" applyAlignment="1">
      <alignment horizontal="center" vertical="center" wrapText="1"/>
    </xf>
    <xf numFmtId="0" fontId="3" fillId="3" borderId="1" xfId="0" applyFont="1" applyFill="1" applyBorder="1"/>
    <xf numFmtId="0" fontId="4" fillId="0" borderId="0" xfId="0" applyFont="1"/>
    <xf numFmtId="0" fontId="4" fillId="4" borderId="1" xfId="0" applyFont="1" applyFill="1" applyBorder="1"/>
    <xf numFmtId="0" fontId="0" fillId="0" borderId="0" xfId="0" applyAlignment="1">
      <alignment wrapText="1"/>
    </xf>
    <xf numFmtId="165" fontId="0" fillId="0" borderId="0" xfId="1" applyNumberFormat="1" applyFont="1"/>
    <xf numFmtId="0" fontId="6" fillId="5" borderId="0" xfId="0" applyFont="1" applyFill="1"/>
    <xf numFmtId="165" fontId="6" fillId="5" borderId="0" xfId="0" applyNumberFormat="1" applyFont="1" applyFill="1"/>
    <xf numFmtId="0" fontId="0" fillId="0" borderId="1" xfId="0"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right" vertical="center"/>
    </xf>
    <xf numFmtId="0" fontId="2" fillId="2"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xf numFmtId="0" fontId="0" fillId="0" borderId="0" xfId="0"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33337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
  <sheetViews>
    <sheetView tabSelected="1" workbookViewId="0">
      <selection activeCell="E16" sqref="E16"/>
    </sheetView>
  </sheetViews>
  <sheetFormatPr defaultRowHeight="14.45"/>
  <cols>
    <col min="1" max="1" width="16" customWidth="1"/>
    <col min="2" max="3" width="15" customWidth="1"/>
    <col min="4" max="4" width="11.28515625" bestFit="1" customWidth="1"/>
    <col min="16" max="17" width="20" customWidth="1"/>
  </cols>
  <sheetData>
    <row r="1" spans="1:17" ht="41.65" customHeight="1">
      <c r="A1" s="17"/>
      <c r="B1" s="17"/>
      <c r="C1" s="17"/>
      <c r="D1" s="17"/>
      <c r="E1" s="17"/>
      <c r="F1" s="17"/>
      <c r="G1" s="17"/>
      <c r="H1" s="17"/>
      <c r="I1" s="17"/>
      <c r="J1" s="17"/>
      <c r="K1" s="17"/>
    </row>
    <row r="2" spans="1:17">
      <c r="A2" s="2" t="s">
        <v>0</v>
      </c>
      <c r="B2" s="12" t="s">
        <v>1</v>
      </c>
      <c r="C2" s="12"/>
      <c r="D2" s="13" t="s">
        <v>2</v>
      </c>
      <c r="E2" s="13"/>
      <c r="F2" s="14" t="s">
        <v>3</v>
      </c>
      <c r="G2" s="14"/>
      <c r="H2" s="13" t="s">
        <v>4</v>
      </c>
      <c r="I2" s="13"/>
      <c r="J2" s="14" t="s">
        <v>5</v>
      </c>
      <c r="K2" s="14"/>
    </row>
    <row r="3" spans="1:17">
      <c r="A3" s="2" t="s">
        <v>6</v>
      </c>
      <c r="B3" s="12" t="s">
        <v>7</v>
      </c>
      <c r="C3" s="12"/>
      <c r="D3" s="13" t="s">
        <v>8</v>
      </c>
      <c r="E3" s="13"/>
      <c r="F3" s="14" t="s">
        <v>9</v>
      </c>
      <c r="G3" s="14"/>
      <c r="H3" s="13" t="s">
        <v>10</v>
      </c>
      <c r="I3" s="13"/>
      <c r="J3" s="14" t="s">
        <v>11</v>
      </c>
      <c r="K3" s="14"/>
    </row>
    <row r="4" spans="1:17" ht="28.9">
      <c r="A4" s="2" t="s">
        <v>12</v>
      </c>
      <c r="B4" s="12" t="s">
        <v>13</v>
      </c>
      <c r="C4" s="12"/>
      <c r="D4" s="13" t="s">
        <v>14</v>
      </c>
      <c r="E4" s="13"/>
      <c r="F4" s="14" t="s">
        <v>15</v>
      </c>
      <c r="G4" s="14"/>
      <c r="H4" s="13" t="s">
        <v>16</v>
      </c>
      <c r="I4" s="13"/>
      <c r="J4" s="14" t="s">
        <v>11</v>
      </c>
      <c r="K4" s="14"/>
    </row>
    <row r="5" spans="1:17">
      <c r="A5" s="2" t="s">
        <v>17</v>
      </c>
      <c r="B5" s="12" t="s">
        <v>18</v>
      </c>
      <c r="C5" s="12"/>
    </row>
    <row r="7" spans="1:17" s="3" customFormat="1" ht="40.15" customHeight="1">
      <c r="A7" s="15" t="s">
        <v>19</v>
      </c>
      <c r="B7" s="15" t="s">
        <v>20</v>
      </c>
      <c r="C7" s="15" t="s">
        <v>21</v>
      </c>
      <c r="D7" s="15" t="s">
        <v>22</v>
      </c>
      <c r="E7" s="15" t="s">
        <v>23</v>
      </c>
      <c r="F7" s="15" t="s">
        <v>24</v>
      </c>
      <c r="G7" s="15" t="s">
        <v>25</v>
      </c>
      <c r="H7" s="15"/>
      <c r="I7" s="15"/>
      <c r="J7" s="15"/>
      <c r="K7" s="15" t="s">
        <v>8</v>
      </c>
      <c r="L7" s="15"/>
      <c r="M7" s="15"/>
      <c r="N7" s="15"/>
      <c r="O7" s="15"/>
      <c r="P7" s="15" t="s">
        <v>26</v>
      </c>
      <c r="Q7" s="15" t="s">
        <v>27</v>
      </c>
    </row>
    <row r="8" spans="1:17" s="3" customFormat="1" ht="40.15" customHeight="1">
      <c r="A8" s="15"/>
      <c r="B8" s="15"/>
      <c r="C8" s="15"/>
      <c r="D8" s="15"/>
      <c r="E8" s="15"/>
      <c r="F8" s="15"/>
      <c r="G8" s="4" t="s">
        <v>28</v>
      </c>
      <c r="H8" s="4" t="s">
        <v>29</v>
      </c>
      <c r="I8" s="4" t="s">
        <v>30</v>
      </c>
      <c r="J8" s="4" t="s">
        <v>31</v>
      </c>
      <c r="K8" s="4" t="s">
        <v>32</v>
      </c>
      <c r="L8" s="4" t="s">
        <v>33</v>
      </c>
      <c r="M8" s="4" t="s">
        <v>34</v>
      </c>
      <c r="N8" s="4" t="s">
        <v>35</v>
      </c>
      <c r="O8" s="4" t="s">
        <v>36</v>
      </c>
      <c r="P8" s="15"/>
      <c r="Q8" s="15"/>
    </row>
    <row r="9" spans="1:17">
      <c r="A9" s="5" t="s">
        <v>37</v>
      </c>
    </row>
    <row r="10" spans="1:17">
      <c r="A10" s="1" t="s">
        <v>38</v>
      </c>
      <c r="B10" s="1" t="s">
        <v>39</v>
      </c>
      <c r="C10" s="1" t="s">
        <v>40</v>
      </c>
      <c r="D10" s="1">
        <v>5306</v>
      </c>
      <c r="E10" s="1">
        <v>0</v>
      </c>
      <c r="F10" s="1">
        <v>4425901.82</v>
      </c>
      <c r="G10" s="1">
        <v>0</v>
      </c>
      <c r="H10" s="1">
        <v>0</v>
      </c>
      <c r="I10" s="1">
        <v>4425901.82</v>
      </c>
      <c r="J10" s="1">
        <v>4425901.82</v>
      </c>
      <c r="K10" s="1">
        <v>797.63</v>
      </c>
      <c r="L10" s="1">
        <v>4431.2700000000004</v>
      </c>
      <c r="M10" s="1">
        <v>178.5</v>
      </c>
      <c r="N10" s="1">
        <v>4431.3100000000004</v>
      </c>
      <c r="O10" s="1">
        <v>9838.7099999999991</v>
      </c>
      <c r="P10" s="1">
        <v>4421470.51</v>
      </c>
      <c r="Q10" s="1">
        <v>4431309.21</v>
      </c>
    </row>
    <row r="11" spans="1:17">
      <c r="A11" s="1" t="s">
        <v>41</v>
      </c>
      <c r="B11" s="1" t="s">
        <v>39</v>
      </c>
      <c r="C11" s="1" t="s">
        <v>42</v>
      </c>
      <c r="D11" s="1">
        <v>1800</v>
      </c>
      <c r="E11" s="1">
        <v>2003760</v>
      </c>
      <c r="F11" s="1">
        <v>3820065.79</v>
      </c>
      <c r="G11" s="1">
        <v>0</v>
      </c>
      <c r="H11" s="1">
        <v>0</v>
      </c>
      <c r="I11" s="1">
        <v>1816305.79</v>
      </c>
      <c r="J11" s="1">
        <v>1816305.79</v>
      </c>
      <c r="K11" s="1">
        <v>688.45</v>
      </c>
      <c r="L11" s="1">
        <v>3824.72</v>
      </c>
      <c r="M11" s="1">
        <v>143</v>
      </c>
      <c r="N11" s="1">
        <v>3824.72</v>
      </c>
      <c r="O11" s="1">
        <v>8480.89</v>
      </c>
      <c r="P11" s="1">
        <v>1812481.07</v>
      </c>
      <c r="Q11" s="1">
        <v>1820961.96</v>
      </c>
    </row>
    <row r="12" spans="1:17">
      <c r="A12" s="1" t="s">
        <v>43</v>
      </c>
      <c r="B12" s="1" t="s">
        <v>39</v>
      </c>
      <c r="C12" s="1" t="s">
        <v>44</v>
      </c>
      <c r="D12" s="1">
        <v>1500</v>
      </c>
      <c r="E12" s="1">
        <v>311620.55</v>
      </c>
      <c r="F12" s="1">
        <v>311400.45</v>
      </c>
      <c r="G12" s="1">
        <v>0</v>
      </c>
      <c r="H12" s="1">
        <v>0</v>
      </c>
      <c r="I12" s="1">
        <v>-220.1</v>
      </c>
      <c r="J12" s="1">
        <v>-220.1</v>
      </c>
      <c r="K12" s="1">
        <v>162.08000000000001</v>
      </c>
      <c r="L12" s="1">
        <v>900.45</v>
      </c>
      <c r="M12" s="1">
        <v>58.05</v>
      </c>
      <c r="N12" s="1">
        <v>310.5</v>
      </c>
      <c r="O12" s="1">
        <v>1431.08</v>
      </c>
      <c r="P12" s="1">
        <v>0</v>
      </c>
      <c r="Q12" s="1">
        <v>0</v>
      </c>
    </row>
    <row r="13" spans="1:17" s="6" customFormat="1">
      <c r="A13" s="7" t="s">
        <v>45</v>
      </c>
      <c r="B13" s="7" t="s">
        <v>46</v>
      </c>
      <c r="C13" s="7" t="s">
        <v>46</v>
      </c>
      <c r="D13" s="7">
        <f t="shared" ref="D13:Q13" si="0">SUM(D9:D12)</f>
        <v>8606</v>
      </c>
      <c r="E13" s="7">
        <f t="shared" si="0"/>
        <v>2315380.5499999998</v>
      </c>
      <c r="F13" s="7">
        <f t="shared" si="0"/>
        <v>8557368.0600000005</v>
      </c>
      <c r="G13" s="7">
        <f t="shared" si="0"/>
        <v>0</v>
      </c>
      <c r="H13" s="7">
        <f t="shared" si="0"/>
        <v>0</v>
      </c>
      <c r="I13" s="7">
        <f t="shared" si="0"/>
        <v>6241987.5100000007</v>
      </c>
      <c r="J13" s="7">
        <f t="shared" si="0"/>
        <v>6241987.5100000007</v>
      </c>
      <c r="K13" s="7">
        <f t="shared" si="0"/>
        <v>1648.1599999999999</v>
      </c>
      <c r="L13" s="7">
        <f t="shared" si="0"/>
        <v>9156.44</v>
      </c>
      <c r="M13" s="7">
        <f t="shared" si="0"/>
        <v>379.55</v>
      </c>
      <c r="N13" s="7">
        <f t="shared" si="0"/>
        <v>8566.5300000000007</v>
      </c>
      <c r="O13" s="7">
        <f t="shared" si="0"/>
        <v>19750.68</v>
      </c>
      <c r="P13" s="7">
        <f t="shared" si="0"/>
        <v>6233951.5800000001</v>
      </c>
      <c r="Q13" s="7">
        <f t="shared" si="0"/>
        <v>6252271.1699999999</v>
      </c>
    </row>
    <row r="15" spans="1:17">
      <c r="E15" t="s">
        <v>47</v>
      </c>
    </row>
    <row r="16" spans="1:17">
      <c r="A16" t="s">
        <v>48</v>
      </c>
      <c r="D16">
        <f>38.2991</f>
        <v>38.299100000000003</v>
      </c>
    </row>
    <row r="17" spans="1:16">
      <c r="A17" t="s">
        <v>49</v>
      </c>
      <c r="D17" s="9">
        <f>D16*D10</f>
        <v>203215.0246</v>
      </c>
    </row>
    <row r="18" spans="1:16">
      <c r="A18" s="10" t="s">
        <v>50</v>
      </c>
      <c r="B18" s="10"/>
      <c r="C18" s="10"/>
      <c r="D18" s="11">
        <f>I13-D17</f>
        <v>6038772.4854000006</v>
      </c>
    </row>
    <row r="20" spans="1:16">
      <c r="A20" t="s">
        <v>51</v>
      </c>
    </row>
    <row r="21" spans="1:16">
      <c r="A21" s="18" t="s">
        <v>52</v>
      </c>
      <c r="B21" s="18"/>
      <c r="C21" s="18"/>
      <c r="D21" s="18"/>
      <c r="E21" s="18"/>
      <c r="F21" s="18"/>
      <c r="G21" s="18"/>
      <c r="H21" s="18"/>
      <c r="I21" s="18"/>
      <c r="J21" s="18"/>
      <c r="K21" s="18"/>
      <c r="L21" s="18"/>
      <c r="M21" s="18"/>
      <c r="N21" s="18"/>
      <c r="O21" s="18"/>
      <c r="P21" s="18"/>
    </row>
    <row r="22" spans="1:16">
      <c r="A22" s="18" t="s">
        <v>53</v>
      </c>
      <c r="B22" s="18"/>
      <c r="C22" s="18"/>
      <c r="D22" s="18"/>
      <c r="E22" s="18"/>
      <c r="F22" s="18"/>
      <c r="G22" s="18"/>
      <c r="H22" s="18"/>
      <c r="I22" s="18"/>
      <c r="J22" s="18"/>
      <c r="K22" s="18"/>
      <c r="L22" s="18"/>
      <c r="M22" s="18"/>
      <c r="N22" s="18"/>
      <c r="O22" s="18"/>
      <c r="P22" s="18"/>
    </row>
    <row r="23" spans="1:16">
      <c r="A23" s="18" t="s">
        <v>54</v>
      </c>
      <c r="B23" s="18"/>
      <c r="C23" s="18"/>
      <c r="D23" s="18"/>
      <c r="E23" s="18"/>
      <c r="F23" s="18"/>
      <c r="G23" s="18"/>
      <c r="H23" s="18"/>
      <c r="I23" s="18"/>
      <c r="J23" s="18"/>
      <c r="K23" s="18"/>
      <c r="L23" s="18"/>
      <c r="M23" s="18"/>
      <c r="N23" s="18"/>
      <c r="O23" s="18"/>
      <c r="P23" s="18"/>
    </row>
    <row r="24" spans="1:16">
      <c r="A24" s="18" t="s">
        <v>55</v>
      </c>
      <c r="B24" s="18"/>
      <c r="C24" s="18"/>
      <c r="D24" s="18"/>
      <c r="E24" s="18"/>
      <c r="F24" s="18"/>
      <c r="G24" s="18"/>
      <c r="H24" s="18"/>
      <c r="I24" s="18"/>
      <c r="J24" s="18"/>
      <c r="K24" s="18"/>
      <c r="L24" s="18"/>
      <c r="M24" s="18"/>
      <c r="N24" s="18"/>
      <c r="O24" s="18"/>
      <c r="P24" s="18"/>
    </row>
    <row r="25" spans="1:16">
      <c r="A25" s="18" t="s">
        <v>56</v>
      </c>
      <c r="B25" s="18"/>
      <c r="C25" s="18"/>
      <c r="D25" s="18"/>
      <c r="E25" s="18"/>
      <c r="F25" s="18"/>
      <c r="G25" s="18"/>
      <c r="H25" s="18"/>
      <c r="I25" s="18"/>
      <c r="J25" s="18"/>
      <c r="K25" s="18"/>
      <c r="L25" s="18"/>
      <c r="M25" s="18"/>
      <c r="N25" s="18"/>
      <c r="O25" s="18"/>
      <c r="P25" s="18"/>
    </row>
    <row r="26" spans="1:16">
      <c r="A26" s="18" t="s">
        <v>57</v>
      </c>
      <c r="B26" s="18"/>
      <c r="C26" s="18"/>
      <c r="D26" s="18"/>
      <c r="E26" s="18"/>
      <c r="F26" s="18"/>
      <c r="G26" s="18"/>
      <c r="H26" s="18"/>
      <c r="I26" s="18"/>
      <c r="J26" s="18"/>
      <c r="K26" s="18"/>
      <c r="L26" s="18"/>
      <c r="M26" s="18"/>
      <c r="N26" s="18"/>
      <c r="O26" s="18"/>
      <c r="P26" s="18"/>
    </row>
    <row r="27" spans="1:16" s="8" customFormat="1" ht="52.15" customHeight="1">
      <c r="A27" s="16" t="s">
        <v>58</v>
      </c>
      <c r="B27" s="16"/>
      <c r="C27" s="16"/>
      <c r="D27" s="16"/>
      <c r="E27" s="16"/>
      <c r="F27" s="16"/>
      <c r="G27" s="16"/>
      <c r="H27" s="16"/>
      <c r="I27" s="16"/>
      <c r="J27" s="16"/>
      <c r="K27" s="16"/>
      <c r="L27" s="16"/>
      <c r="M27" s="16"/>
      <c r="N27" s="16"/>
      <c r="O27" s="16"/>
      <c r="P27" s="16"/>
    </row>
    <row r="28" spans="1:16">
      <c r="A28" s="18" t="s">
        <v>59</v>
      </c>
      <c r="B28" s="18"/>
      <c r="C28" s="18"/>
      <c r="D28" s="18"/>
      <c r="E28" s="18"/>
      <c r="F28" s="18"/>
      <c r="G28" s="18"/>
      <c r="H28" s="18"/>
      <c r="I28" s="18"/>
      <c r="J28" s="18"/>
      <c r="K28" s="18"/>
      <c r="L28" s="18"/>
      <c r="M28" s="18"/>
      <c r="N28" s="18"/>
      <c r="O28" s="18"/>
      <c r="P28" s="18"/>
    </row>
    <row r="29" spans="1:16">
      <c r="A29" t="s">
        <v>60</v>
      </c>
    </row>
  </sheetData>
  <mergeCells count="35">
    <mergeCell ref="A24:P24"/>
    <mergeCell ref="A25:P25"/>
    <mergeCell ref="A26:P26"/>
    <mergeCell ref="A27:P27"/>
    <mergeCell ref="A28:P28"/>
    <mergeCell ref="P7:P8"/>
    <mergeCell ref="Q7:Q8"/>
    <mergeCell ref="A21:P21"/>
    <mergeCell ref="A22:P22"/>
    <mergeCell ref="A23:P23"/>
    <mergeCell ref="B5:C5"/>
    <mergeCell ref="G7:J7"/>
    <mergeCell ref="K7:O7"/>
    <mergeCell ref="A7:A8"/>
    <mergeCell ref="B7:B8"/>
    <mergeCell ref="C7:C8"/>
    <mergeCell ref="D7:D8"/>
    <mergeCell ref="E7:E8"/>
    <mergeCell ref="F7:F8"/>
    <mergeCell ref="B4:C4"/>
    <mergeCell ref="D4:E4"/>
    <mergeCell ref="F4:G4"/>
    <mergeCell ref="H4:I4"/>
    <mergeCell ref="J4:K4"/>
    <mergeCell ref="B3:C3"/>
    <mergeCell ref="D3:E3"/>
    <mergeCell ref="F3:G3"/>
    <mergeCell ref="H3:I3"/>
    <mergeCell ref="J3:K3"/>
    <mergeCell ref="A1:K1"/>
    <mergeCell ref="B2:C2"/>
    <mergeCell ref="D2:E2"/>
    <mergeCell ref="F2:G2"/>
    <mergeCell ref="H2:I2"/>
    <mergeCell ref="J2:K2"/>
  </mergeCells>
  <pageMargins left="0.7" right="0.7" top="0.75" bottom="0.75" header="0.3" footer="0.3"/>
  <pageSetup orientation="portrait" horizontalDpi="4294967295" verticalDpi="429496729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1A22C8C24471D43973AF2635412B01B" ma:contentTypeVersion="18" ma:contentTypeDescription="Create a new document." ma:contentTypeScope="" ma:versionID="bf5240b13b381a9c7aabacc7f93c41a9">
  <xsd:schema xmlns:xsd="http://www.w3.org/2001/XMLSchema" xmlns:xs="http://www.w3.org/2001/XMLSchema" xmlns:p="http://schemas.microsoft.com/office/2006/metadata/properties" xmlns:ns2="0edb4137-9db9-4fa7-a01c-731e41dc6eab" xmlns:ns3="2f112164-a3f3-4c55-84de-3ec87031cb92" targetNamespace="http://schemas.microsoft.com/office/2006/metadata/properties" ma:root="true" ma:fieldsID="5f5211e120460035449af37b25783f78" ns2:_="" ns3:_="">
    <xsd:import namespace="0edb4137-9db9-4fa7-a01c-731e41dc6eab"/>
    <xsd:import namespace="2f112164-a3f3-4c55-84de-3ec87031cb9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db4137-9db9-4fa7-a01c-731e41dc6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7105276-6bd7-482f-8433-45e1cb8fab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112164-a3f3-4c55-84de-3ec87031cb9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f0279bf-15c1-4099-9beb-475ba3836e6f}" ma:internalName="TaxCatchAll" ma:showField="CatchAllData" ma:web="2f112164-a3f3-4c55-84de-3ec87031c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f112164-a3f3-4c55-84de-3ec87031cb92" xsi:nil="true"/>
    <lcf76f155ced4ddcb4097134ff3c332f xmlns="0edb4137-9db9-4fa7-a01c-731e41dc6ea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54BBAA-B191-4EC9-8C13-3696E07C8C98}"/>
</file>

<file path=customXml/itemProps2.xml><?xml version="1.0" encoding="utf-8"?>
<ds:datastoreItem xmlns:ds="http://schemas.openxmlformats.org/officeDocument/2006/customXml" ds:itemID="{E86867A6-14DB-4592-891F-745123983CFA}"/>
</file>

<file path=customXml/itemProps3.xml><?xml version="1.0" encoding="utf-8"?>
<ds:datastoreItem xmlns:ds="http://schemas.openxmlformats.org/officeDocument/2006/customXml" ds:itemID="{58063CA4-9817-41AB-946E-32C29F9C5D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Aditya Murali</cp:lastModifiedBy>
  <cp:revision/>
  <dcterms:created xsi:type="dcterms:W3CDTF">2025-07-12T15:32:14Z</dcterms:created>
  <dcterms:modified xsi:type="dcterms:W3CDTF">2025-08-19T12:59:51Z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0x01010071A22C8C24471D43973AF2635412B01B</vt:lpwstr>
  </property>
  <property fmtid="{D5CDD505-2E9C-101B-9397-08002B2CF9AE}" pid="3" name="MediaServiceImageTags">
    <vt:lpwstr/>
  </property>
</Properties>
</file>