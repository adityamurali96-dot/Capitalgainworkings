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achi\OneDrive - V. RAGHAVENDRAN &amp; CO., CHARTERED ACCOUNTANTS\Desktop\Kumar Prabhas\Capital Gains\"/>
    </mc:Choice>
  </mc:AlternateContent>
  <xr:revisionPtr revIDLastSave="0" documentId="13_ncr:1_{9927258E-60F1-4253-84E6-5BE5E23D7E13}" xr6:coauthVersionLast="47" xr6:coauthVersionMax="47" xr10:uidLastSave="{00000000-0000-0000-0000-000000000000}"/>
  <bookViews>
    <workbookView xWindow="-108" yWindow="-108" windowWidth="23256" windowHeight="12456" xr2:uid="{00000000-000D-0000-FFFF-FFFF00000000}"/>
  </bookViews>
  <sheets>
    <sheet name="Capital gains" sheetId="1" r:id="rId1"/>
    <sheet name="Sheet1" sheetId="2" r:id="rId2"/>
    <sheet name="Sheet2" sheetId="3" r:id="rId3"/>
  </sheets>
  <definedNames>
    <definedName name="_xlnm._FilterDatabase" localSheetId="0" hidden="1">'Capital gains'!$A$21:$P$38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3" i="1" l="1"/>
  <c r="O53" i="1"/>
  <c r="I53" i="1"/>
  <c r="I39" i="1"/>
  <c r="N59" i="1"/>
  <c r="N53" i="1"/>
  <c r="N39" i="1"/>
  <c r="C2" i="3"/>
  <c r="C3" i="3"/>
  <c r="C4" i="3"/>
  <c r="C5" i="3"/>
  <c r="C6" i="3"/>
  <c r="C7" i="3"/>
  <c r="C8" i="3"/>
  <c r="C9" i="3"/>
  <c r="C10" i="3"/>
  <c r="C11" i="3"/>
  <c r="C12" i="3"/>
  <c r="C13" i="3"/>
  <c r="C14" i="3"/>
  <c r="C15" i="3"/>
  <c r="C16" i="3"/>
  <c r="C1" i="3"/>
  <c r="I52" i="1"/>
  <c r="N43" i="1"/>
  <c r="Q44" i="1"/>
  <c r="Q45" i="1"/>
  <c r="Q46" i="1"/>
  <c r="Q47" i="1"/>
  <c r="Q48" i="1"/>
  <c r="Q49" i="1"/>
  <c r="Q50" i="1"/>
  <c r="Q51" i="1"/>
  <c r="Q52" i="1"/>
  <c r="Q43" i="1"/>
  <c r="Q23" i="1" l="1"/>
  <c r="Q24" i="1"/>
  <c r="Q25" i="1"/>
  <c r="Q26" i="1"/>
  <c r="Q27" i="1"/>
  <c r="Q28" i="1"/>
  <c r="Q29" i="1"/>
  <c r="Q30" i="1"/>
  <c r="Q31" i="1"/>
  <c r="Q32" i="1"/>
  <c r="Q33" i="1"/>
  <c r="Q34" i="1"/>
  <c r="Q35" i="1"/>
  <c r="Q36" i="1"/>
  <c r="Q37" i="1"/>
  <c r="Q38" i="1"/>
  <c r="Q22" i="1"/>
  <c r="N23" i="1" l="1"/>
  <c r="N24" i="1"/>
  <c r="N25" i="1"/>
  <c r="N26" i="1"/>
  <c r="N27" i="1"/>
  <c r="N28" i="1"/>
  <c r="N29" i="1"/>
  <c r="N30" i="1"/>
  <c r="N31" i="1"/>
  <c r="N32" i="1"/>
  <c r="N33" i="1"/>
  <c r="N34" i="1"/>
  <c r="N35" i="1"/>
  <c r="N36" i="1"/>
  <c r="N37" i="1"/>
  <c r="N38" i="1"/>
  <c r="N22" i="1"/>
  <c r="I23" i="1"/>
  <c r="I24" i="1"/>
  <c r="I25" i="1"/>
  <c r="I26" i="1"/>
  <c r="I27" i="1"/>
  <c r="I28" i="1"/>
  <c r="I29" i="1"/>
  <c r="I30" i="1"/>
  <c r="I31" i="1"/>
  <c r="I32" i="1"/>
  <c r="I33" i="1"/>
  <c r="I34" i="1"/>
  <c r="I35" i="1"/>
  <c r="I36" i="1"/>
  <c r="I37" i="1"/>
  <c r="I38" i="1"/>
  <c r="I22" i="1"/>
  <c r="I44" i="1"/>
  <c r="I45" i="1"/>
  <c r="I46" i="1"/>
  <c r="I47" i="1"/>
  <c r="I48" i="1"/>
  <c r="I49" i="1"/>
  <c r="I50" i="1"/>
  <c r="I51" i="1"/>
  <c r="I43" i="1"/>
  <c r="N44" i="1"/>
  <c r="N45" i="1"/>
  <c r="N46" i="1"/>
  <c r="N47" i="1"/>
  <c r="N48" i="1"/>
  <c r="N49" i="1"/>
  <c r="N50" i="1"/>
  <c r="N51" i="1"/>
  <c r="N52" i="1"/>
  <c r="J41" i="1"/>
  <c r="G41" i="1"/>
  <c r="K41" i="1" l="1"/>
</calcChain>
</file>

<file path=xl/sharedStrings.xml><?xml version="1.0" encoding="utf-8"?>
<sst xmlns="http://schemas.openxmlformats.org/spreadsheetml/2006/main" count="313" uniqueCount="118">
  <si>
    <t>Personal Details</t>
  </si>
  <si>
    <t>Name</t>
  </si>
  <si>
    <t>Kumar  Prabhas</t>
  </si>
  <si>
    <t>Mobile Number</t>
  </si>
  <si>
    <t>9845071878</t>
  </si>
  <si>
    <t>PAN</t>
  </si>
  <si>
    <t>AAMPP4667N</t>
  </si>
  <si>
    <t>Summary</t>
  </si>
  <si>
    <t>Capital Gain/Loss</t>
  </si>
  <si>
    <t>Asset Class / Category</t>
  </si>
  <si>
    <t>Taxable Short Term</t>
  </si>
  <si>
    <t>Taxable Long Term</t>
  </si>
  <si>
    <t>Equity</t>
  </si>
  <si>
    <t>Debt (Specified - Other than Equity)</t>
  </si>
  <si>
    <t>Debt (Unspecified - Other than Equity)</t>
  </si>
  <si>
    <t>CAPITAL GAINS STATEMENT FOR FY 2024-25</t>
  </si>
  <si>
    <t>Equity Category</t>
  </si>
  <si>
    <t>Scheme Name</t>
  </si>
  <si>
    <t>Scheme Code</t>
  </si>
  <si>
    <t>Category</t>
  </si>
  <si>
    <t>Folio Number</t>
  </si>
  <si>
    <t>Purchase Transaction Id</t>
  </si>
  <si>
    <t>Purchase Date</t>
  </si>
  <si>
    <t>Matched Quantity</t>
  </si>
  <si>
    <t>Purchase Price</t>
  </si>
  <si>
    <t>Redeem Transaction Id</t>
  </si>
  <si>
    <t>Redeem Date</t>
  </si>
  <si>
    <t>Grandfathered Nav</t>
  </si>
  <si>
    <t>Redeem Price</t>
  </si>
  <si>
    <t>Short Term-Capital Gain</t>
  </si>
  <si>
    <t>Long Term-Capital Gain</t>
  </si>
  <si>
    <t>HDFC Mid Cap Opportunities Direct Plan Growth</t>
  </si>
  <si>
    <t>118989</t>
  </si>
  <si>
    <t>17662456</t>
  </si>
  <si>
    <t>450945966</t>
  </si>
  <si>
    <t>2022-06-09</t>
  </si>
  <si>
    <t>1176713999</t>
  </si>
  <si>
    <t>2024-05-23</t>
  </si>
  <si>
    <t>HDFC Top 100 Fund Direct Plan Growth</t>
  </si>
  <si>
    <t>119018</t>
  </si>
  <si>
    <t>408509514</t>
  </si>
  <si>
    <t>2022-04-05</t>
  </si>
  <si>
    <t>1176714605</t>
  </si>
  <si>
    <t>Invesco India Contra Fund Direct Growth</t>
  </si>
  <si>
    <t>120348</t>
  </si>
  <si>
    <t>3109454675</t>
  </si>
  <si>
    <t>406761056</t>
  </si>
  <si>
    <t>2022-04-04</t>
  </si>
  <si>
    <t>1176713373</t>
  </si>
  <si>
    <t>410113633</t>
  </si>
  <si>
    <t>2022-04-07</t>
  </si>
  <si>
    <t>417617932</t>
  </si>
  <si>
    <t>2022-04-18</t>
  </si>
  <si>
    <t>1243162304</t>
  </si>
  <si>
    <t>2024-07-04</t>
  </si>
  <si>
    <t>1243163714</t>
  </si>
  <si>
    <t>410113338</t>
  </si>
  <si>
    <t>1243161478</t>
  </si>
  <si>
    <t>1345102939</t>
  </si>
  <si>
    <t>2024-09-02</t>
  </si>
  <si>
    <t>1345068952</t>
  </si>
  <si>
    <t>421705796</t>
  </si>
  <si>
    <t>2022-04-25</t>
  </si>
  <si>
    <t>437842162</t>
  </si>
  <si>
    <t>2022-05-17</t>
  </si>
  <si>
    <t>1385872104</t>
  </si>
  <si>
    <t>2024-09-23</t>
  </si>
  <si>
    <t>417633016</t>
  </si>
  <si>
    <t>1385871382</t>
  </si>
  <si>
    <t>450883070</t>
  </si>
  <si>
    <t>Debt (Specified - Other than Equity) Category</t>
  </si>
  <si>
    <t>HDFC Banking and PSU Debt Fund Direct Growth</t>
  </si>
  <si>
    <t>128629</t>
  </si>
  <si>
    <t>555831519</t>
  </si>
  <si>
    <t>2022-11-11</t>
  </si>
  <si>
    <t>1633365836</t>
  </si>
  <si>
    <t>2025-01-27</t>
  </si>
  <si>
    <t>567080067</t>
  </si>
  <si>
    <t>2022-11-29</t>
  </si>
  <si>
    <t>ICICI Prudential Banking &amp; PSU Debt Direct Growth</t>
  </si>
  <si>
    <t>120256</t>
  </si>
  <si>
    <t>17718772</t>
  </si>
  <si>
    <t>722380306</t>
  </si>
  <si>
    <t>2023-05-29</t>
  </si>
  <si>
    <t>1689282109</t>
  </si>
  <si>
    <t>2025-02-24</t>
  </si>
  <si>
    <t>1694381949</t>
  </si>
  <si>
    <t>2025-02-27</t>
  </si>
  <si>
    <t>570208716</t>
  </si>
  <si>
    <t>2022-12-02</t>
  </si>
  <si>
    <t>HDFC Developed World Indexes FoF Direct   Growth</t>
  </si>
  <si>
    <t>149180</t>
  </si>
  <si>
    <t>773902621</t>
  </si>
  <si>
    <t>2023-07-19</t>
  </si>
  <si>
    <t>1706470530</t>
  </si>
  <si>
    <t>2025-03-03</t>
  </si>
  <si>
    <t>782642741</t>
  </si>
  <si>
    <t>2023-07-31</t>
  </si>
  <si>
    <t>1714180578</t>
  </si>
  <si>
    <t>2025-03-05</t>
  </si>
  <si>
    <t>739255751</t>
  </si>
  <si>
    <t>2023-06-14</t>
  </si>
  <si>
    <t>HDFC Long Duration Debt Fund Direct   Growth</t>
  </si>
  <si>
    <t>151313</t>
  </si>
  <si>
    <t>1366870647</t>
  </si>
  <si>
    <t>2024-09-10</t>
  </si>
  <si>
    <t>1714181287</t>
  </si>
  <si>
    <t>Debt (Unspecified - Other than Equity) Category</t>
  </si>
  <si>
    <t>Note:</t>
  </si>
  <si>
    <t>Acquisition value for Equity funds sold after 31'st Mar 2018 is the grandfathered value as per Jan 31'st NAV.</t>
  </si>
  <si>
    <t>Disclaimers:</t>
  </si>
  <si>
    <t>The gains/loss report is provided at your request and should not be considered as the basis for computing your tax liability</t>
  </si>
  <si>
    <t>As required by regulation, NAV as on 31st Jan 2018 is used to calculate LTCG and LTCG Taxes for units bought before Jan 2018.</t>
  </si>
  <si>
    <t>You are advised to consult a tax advisor to verify the correctness and appropriateness of this statement and Groww will not be liable for determining your tax liability or any loss or damage arising out of any decisions/actions arising out of this statement</t>
  </si>
  <si>
    <t>Sale Value</t>
  </si>
  <si>
    <t>Purchase Value</t>
  </si>
  <si>
    <t>LTCG</t>
  </si>
  <si>
    <t>STCG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</si>
</sst>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d\-mm\-yyyy"/>
  </numFmts>
  <fonts count="20" x14ac:knownFonts="1">
    <font>
      <sz val="11"/>
      <color indexed="8"/>
      <name val="Aptos Narrow"/>
      <family val="2"/>
      <scheme val="minor"/>
    </font>
    <font>
      <b/>
      <sz val="15"/>
      <name val="Calibri"/>
      <family val="2"/>
    </font>
    <font>
      <b/>
      <sz val="11"/>
      <color indexed="9"/>
      <name val="Calibri"/>
      <family val="2"/>
    </font>
    <font>
      <b/>
      <sz val="11"/>
      <color indexed="9"/>
      <name val="Calibri"/>
      <family val="2"/>
    </font>
    <font>
      <b/>
      <sz val="11"/>
      <color indexed="9"/>
      <name val="Calibri"/>
      <family val="2"/>
    </font>
    <font>
      <b/>
      <sz val="15"/>
      <name val="Calibri"/>
      <family val="2"/>
    </font>
    <font>
      <b/>
      <sz val="11"/>
      <name val="Calibri"/>
      <family val="2"/>
    </font>
    <font>
      <b/>
      <sz val="11"/>
      <color indexed="9"/>
      <name val="Calibri"/>
      <family val="2"/>
    </font>
    <font>
      <b/>
      <sz val="11"/>
      <name val="Calibri"/>
      <family val="2"/>
    </font>
    <font>
      <b/>
      <sz val="11"/>
      <name val="Calibri"/>
      <family val="2"/>
    </font>
    <font>
      <b/>
      <sz val="11"/>
      <name val="Calibri"/>
      <family val="2"/>
    </font>
    <font>
      <b/>
      <sz val="15"/>
      <name val="Calibri"/>
      <family val="2"/>
    </font>
    <font>
      <b/>
      <sz val="11"/>
      <name val="Calibri"/>
      <family val="2"/>
    </font>
    <font>
      <b/>
      <sz val="11"/>
      <color indexed="9"/>
      <name val="Calibri"/>
      <family val="2"/>
    </font>
    <font>
      <b/>
      <sz val="11"/>
      <name val="Calibri"/>
      <family val="2"/>
    </font>
    <font>
      <b/>
      <sz val="11"/>
      <color indexed="9"/>
      <name val="Calibri"/>
      <family val="2"/>
    </font>
    <font>
      <b/>
      <sz val="11"/>
      <name val="Calibri"/>
      <family val="2"/>
    </font>
    <font>
      <b/>
      <sz val="11"/>
      <color indexed="9"/>
      <name val="Calibri"/>
      <family val="2"/>
    </font>
    <font>
      <sz val="11"/>
      <color indexed="8"/>
      <name val="Aptos Narrow"/>
      <family val="2"/>
      <scheme val="minor"/>
    </font>
    <font>
      <b/>
      <sz val="11"/>
      <color indexed="8"/>
      <name val="Aptos Narrow"/>
      <family val="2"/>
      <scheme val="minor"/>
    </font>
  </fonts>
  <fills count="4">
    <fill>
      <patternFill patternType="none"/>
    </fill>
    <fill>
      <patternFill patternType="gray125"/>
    </fill>
    <fill>
      <patternFill patternType="solid">
        <fgColor rgb="FF008768"/>
      </patternFill>
    </fill>
    <fill>
      <patternFill patternType="solid">
        <fgColor theme="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164" fontId="18" fillId="0" borderId="0" applyFont="0" applyFill="0" applyBorder="0" applyAlignment="0" applyProtection="0"/>
  </cellStyleXfs>
  <cellXfs count="35">
    <xf numFmtId="0" fontId="0" fillId="0" borderId="0" xfId="0"/>
    <xf numFmtId="0" fontId="1" fillId="0" borderId="0" xfId="0" applyFont="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4" fillId="2" borderId="1" xfId="0" applyFont="1" applyFill="1" applyBorder="1" applyAlignment="1">
      <alignment horizontal="left"/>
    </xf>
    <xf numFmtId="0" fontId="5" fillId="0" borderId="0" xfId="0" applyFont="1" applyAlignment="1">
      <alignment horizontal="left"/>
    </xf>
    <xf numFmtId="0" fontId="0" fillId="0" borderId="1" xfId="0" applyBorder="1"/>
    <xf numFmtId="0" fontId="7" fillId="2" borderId="1" xfId="0" applyFont="1" applyFill="1" applyBorder="1" applyAlignment="1">
      <alignment horizontal="center"/>
    </xf>
    <xf numFmtId="0" fontId="8" fillId="0" borderId="1" xfId="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1" fillId="0" borderId="0" xfId="0" applyFont="1" applyAlignment="1">
      <alignment horizontal="left"/>
    </xf>
    <xf numFmtId="0" fontId="12" fillId="0" borderId="0" xfId="0" applyFont="1" applyAlignment="1">
      <alignment horizontal="left"/>
    </xf>
    <xf numFmtId="0" fontId="13" fillId="2" borderId="1" xfId="0" applyFont="1" applyFill="1" applyBorder="1" applyAlignment="1">
      <alignment horizontal="left"/>
    </xf>
    <xf numFmtId="0" fontId="14" fillId="0" borderId="0" xfId="0" applyFont="1" applyAlignment="1">
      <alignment horizontal="left"/>
    </xf>
    <xf numFmtId="0" fontId="15" fillId="2" borderId="1" xfId="0" applyFont="1" applyFill="1" applyBorder="1" applyAlignment="1">
      <alignment horizontal="left"/>
    </xf>
    <xf numFmtId="0" fontId="16" fillId="0" borderId="0" xfId="0" applyFont="1" applyAlignment="1">
      <alignment horizontal="left"/>
    </xf>
    <xf numFmtId="0" fontId="17" fillId="2" borderId="1" xfId="0" applyFont="1" applyFill="1" applyBorder="1" applyAlignment="1">
      <alignment horizontal="left"/>
    </xf>
    <xf numFmtId="165" fontId="0" fillId="0" borderId="1" xfId="1" applyNumberFormat="1" applyFont="1" applyBorder="1"/>
    <xf numFmtId="14" fontId="0" fillId="0" borderId="0" xfId="0" applyNumberFormat="1"/>
    <xf numFmtId="166" fontId="0" fillId="0" borderId="0" xfId="0" applyNumberFormat="1"/>
    <xf numFmtId="2" fontId="13" fillId="2" borderId="1" xfId="0" applyNumberFormat="1" applyFont="1" applyFill="1" applyBorder="1" applyAlignment="1">
      <alignment horizontal="left"/>
    </xf>
    <xf numFmtId="2" fontId="0" fillId="0" borderId="0" xfId="0" applyNumberFormat="1"/>
    <xf numFmtId="167" fontId="0" fillId="0" borderId="0" xfId="0" applyNumberFormat="1"/>
    <xf numFmtId="9" fontId="0" fillId="0" borderId="0" xfId="0" applyNumberFormat="1"/>
    <xf numFmtId="10" fontId="0" fillId="0" borderId="0" xfId="0" applyNumberFormat="1"/>
    <xf numFmtId="4" fontId="0" fillId="0" borderId="0" xfId="0" applyNumberFormat="1"/>
    <xf numFmtId="164" fontId="0" fillId="0" borderId="0" xfId="1" applyFont="1"/>
    <xf numFmtId="164" fontId="0" fillId="0" borderId="0" xfId="0" applyNumberFormat="1"/>
    <xf numFmtId="164" fontId="0" fillId="3" borderId="0" xfId="1" applyFont="1" applyFill="1"/>
    <xf numFmtId="0" fontId="0" fillId="3" borderId="0" xfId="0" applyFill="1"/>
    <xf numFmtId="164" fontId="19" fillId="0" borderId="0" xfId="0" applyNumberFormat="1" applyFont="1"/>
    <xf numFmtId="164" fontId="19" fillId="0" borderId="0" xfId="1" applyFont="1"/>
    <xf numFmtId="0" fontId="6" fillId="0" borderId="1" xfId="0" applyFont="1" applyBorder="1" applyAlignment="1">
      <alignment horizontal="center"/>
    </xf>
    <xf numFmtId="0" fontId="0" fillId="0" borderId="0" xfId="0"/>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63"/>
  <sheetViews>
    <sheetView tabSelected="1" zoomScale="94" workbookViewId="0">
      <selection activeCell="F8" sqref="F8"/>
    </sheetView>
  </sheetViews>
  <sheetFormatPr defaultColWidth="8.77734375" defaultRowHeight="14.4" x14ac:dyDescent="0.3"/>
  <cols>
    <col min="1" max="1" width="43" customWidth="1"/>
    <col min="3" max="5" width="43" customWidth="1"/>
    <col min="6" max="6" width="15.5546875" customWidth="1"/>
    <col min="7" max="7" width="12.77734375" customWidth="1"/>
    <col min="8" max="8" width="14" customWidth="1"/>
    <col min="9" max="9" width="17.21875" customWidth="1"/>
    <col min="10" max="10" width="15.44140625" customWidth="1"/>
    <col min="11" max="11" width="13.77734375" customWidth="1"/>
    <col min="12" max="12" width="12.5546875" customWidth="1"/>
    <col min="13" max="14" width="15.88671875" customWidth="1"/>
    <col min="15" max="16" width="12.5546875" bestFit="1" customWidth="1"/>
    <col min="17" max="17" width="10.109375" bestFit="1" customWidth="1"/>
    <col min="19" max="19" width="10.77734375" bestFit="1" customWidth="1"/>
    <col min="21" max="21" width="8.77734375" customWidth="1"/>
  </cols>
  <sheetData>
    <row r="2" spans="1:5" ht="19.8" x14ac:dyDescent="0.4">
      <c r="C2" s="1" t="s">
        <v>0</v>
      </c>
    </row>
    <row r="3" spans="1:5" x14ac:dyDescent="0.3">
      <c r="C3" s="2" t="s">
        <v>1</v>
      </c>
      <c r="D3" s="2" t="s">
        <v>2</v>
      </c>
    </row>
    <row r="4" spans="1:5" x14ac:dyDescent="0.3">
      <c r="C4" s="3" t="s">
        <v>3</v>
      </c>
      <c r="D4" s="3" t="s">
        <v>4</v>
      </c>
    </row>
    <row r="5" spans="1:5" x14ac:dyDescent="0.3">
      <c r="C5" s="4" t="s">
        <v>5</v>
      </c>
      <c r="D5" s="4" t="s">
        <v>6</v>
      </c>
    </row>
    <row r="8" spans="1:5" ht="19.8" x14ac:dyDescent="0.4">
      <c r="C8" s="5" t="s">
        <v>7</v>
      </c>
    </row>
    <row r="9" spans="1:5" x14ac:dyDescent="0.3">
      <c r="C9" s="6"/>
      <c r="D9" s="33" t="s">
        <v>8</v>
      </c>
      <c r="E9" s="34"/>
    </row>
    <row r="10" spans="1:5" x14ac:dyDescent="0.3">
      <c r="C10" s="7" t="s">
        <v>9</v>
      </c>
      <c r="D10" s="7" t="s">
        <v>10</v>
      </c>
      <c r="E10" s="7" t="s">
        <v>11</v>
      </c>
    </row>
    <row r="11" spans="1:5" x14ac:dyDescent="0.3">
      <c r="C11" s="8" t="s">
        <v>12</v>
      </c>
      <c r="D11" s="18">
        <v>0</v>
      </c>
      <c r="E11" s="18">
        <v>728071.27</v>
      </c>
    </row>
    <row r="12" spans="1:5" x14ac:dyDescent="0.3">
      <c r="C12" s="9" t="s">
        <v>13</v>
      </c>
      <c r="D12" s="18">
        <v>340935.44</v>
      </c>
      <c r="E12" s="18">
        <v>271795.44</v>
      </c>
    </row>
    <row r="13" spans="1:5" x14ac:dyDescent="0.3">
      <c r="C13" s="10" t="s">
        <v>14</v>
      </c>
      <c r="D13" s="18">
        <v>0</v>
      </c>
      <c r="E13" s="18">
        <v>0</v>
      </c>
    </row>
    <row r="16" spans="1:5" ht="19.8" x14ac:dyDescent="0.4">
      <c r="A16" s="11" t="s">
        <v>15</v>
      </c>
    </row>
    <row r="19" spans="1:17" x14ac:dyDescent="0.3">
      <c r="A19" s="12" t="s">
        <v>16</v>
      </c>
      <c r="N19" s="26"/>
      <c r="O19" s="26"/>
    </row>
    <row r="20" spans="1:17" x14ac:dyDescent="0.3">
      <c r="K20" s="22"/>
    </row>
    <row r="21" spans="1:17" x14ac:dyDescent="0.3">
      <c r="A21" s="13" t="s">
        <v>17</v>
      </c>
      <c r="B21" s="13" t="s">
        <v>18</v>
      </c>
      <c r="C21" s="13" t="s">
        <v>19</v>
      </c>
      <c r="D21" s="13" t="s">
        <v>20</v>
      </c>
      <c r="E21" s="13" t="s">
        <v>21</v>
      </c>
      <c r="F21" s="13" t="s">
        <v>22</v>
      </c>
      <c r="G21" s="13" t="s">
        <v>23</v>
      </c>
      <c r="H21" s="13" t="s">
        <v>24</v>
      </c>
      <c r="I21" s="2" t="s">
        <v>115</v>
      </c>
      <c r="J21" s="13" t="s">
        <v>25</v>
      </c>
      <c r="K21" s="21" t="s">
        <v>26</v>
      </c>
      <c r="L21" s="13" t="s">
        <v>27</v>
      </c>
      <c r="M21" s="13" t="s">
        <v>28</v>
      </c>
      <c r="N21" s="2" t="s">
        <v>114</v>
      </c>
      <c r="O21" s="13" t="s">
        <v>29</v>
      </c>
      <c r="P21" s="13" t="s">
        <v>30</v>
      </c>
    </row>
    <row r="22" spans="1:17" x14ac:dyDescent="0.3">
      <c r="A22" s="30" t="s">
        <v>31</v>
      </c>
      <c r="B22" t="s">
        <v>32</v>
      </c>
      <c r="C22" t="s">
        <v>12</v>
      </c>
      <c r="D22" t="s">
        <v>33</v>
      </c>
      <c r="E22" t="s">
        <v>34</v>
      </c>
      <c r="F22" s="20" t="s">
        <v>35</v>
      </c>
      <c r="G22">
        <v>269.161</v>
      </c>
      <c r="H22">
        <v>92.73</v>
      </c>
      <c r="I22" s="27">
        <f>G22*H22</f>
        <v>24959.29953</v>
      </c>
      <c r="J22" t="s">
        <v>36</v>
      </c>
      <c r="K22" t="s">
        <v>37</v>
      </c>
      <c r="L22">
        <v>61.11</v>
      </c>
      <c r="M22">
        <v>185.76400000000001</v>
      </c>
      <c r="N22" s="29">
        <f>G22*M22</f>
        <v>50000.424004</v>
      </c>
      <c r="O22">
        <v>0</v>
      </c>
      <c r="P22" s="27">
        <v>25041.119999999999</v>
      </c>
      <c r="Q22" s="22">
        <f>K22-F22</f>
        <v>714</v>
      </c>
    </row>
    <row r="23" spans="1:17" x14ac:dyDescent="0.3">
      <c r="A23" s="30" t="s">
        <v>38</v>
      </c>
      <c r="B23" t="s">
        <v>39</v>
      </c>
      <c r="C23" t="s">
        <v>12</v>
      </c>
      <c r="D23" t="s">
        <v>33</v>
      </c>
      <c r="E23" t="s">
        <v>40</v>
      </c>
      <c r="F23" s="20" t="s">
        <v>41</v>
      </c>
      <c r="G23">
        <v>131.04599999999999</v>
      </c>
      <c r="H23">
        <v>761.57</v>
      </c>
      <c r="I23" s="27">
        <f t="shared" ref="I23:I38" si="0">G23*H23</f>
        <v>99800.702220000006</v>
      </c>
      <c r="J23" t="s">
        <v>42</v>
      </c>
      <c r="K23" t="s">
        <v>37</v>
      </c>
      <c r="L23">
        <v>498.03</v>
      </c>
      <c r="M23">
        <v>1144.6469999999999</v>
      </c>
      <c r="N23" s="29">
        <f t="shared" ref="N23:N38" si="1">G23*M23</f>
        <v>150001.41076199998</v>
      </c>
      <c r="O23">
        <v>0</v>
      </c>
      <c r="P23" s="27">
        <v>50200.71</v>
      </c>
      <c r="Q23" s="22">
        <f t="shared" ref="Q23:Q38" si="2">K23-F23</f>
        <v>779</v>
      </c>
    </row>
    <row r="24" spans="1:17" x14ac:dyDescent="0.3">
      <c r="A24" s="30" t="s">
        <v>43</v>
      </c>
      <c r="B24" t="s">
        <v>44</v>
      </c>
      <c r="C24" t="s">
        <v>12</v>
      </c>
      <c r="D24" t="s">
        <v>45</v>
      </c>
      <c r="E24" t="s">
        <v>46</v>
      </c>
      <c r="F24" s="20" t="s">
        <v>47</v>
      </c>
      <c r="G24">
        <v>460.05799999999999</v>
      </c>
      <c r="H24">
        <v>87.48</v>
      </c>
      <c r="I24" s="27">
        <f t="shared" si="0"/>
        <v>40245.87384</v>
      </c>
      <c r="J24" t="s">
        <v>48</v>
      </c>
      <c r="K24" t="s">
        <v>37</v>
      </c>
      <c r="L24">
        <v>51.8</v>
      </c>
      <c r="M24">
        <v>137.43</v>
      </c>
      <c r="N24" s="29">
        <f t="shared" si="1"/>
        <v>63225.770940000002</v>
      </c>
      <c r="O24">
        <v>0</v>
      </c>
      <c r="P24" s="27">
        <v>22979.9</v>
      </c>
      <c r="Q24" s="22">
        <f t="shared" si="2"/>
        <v>780</v>
      </c>
    </row>
    <row r="25" spans="1:17" x14ac:dyDescent="0.3">
      <c r="A25" s="30" t="s">
        <v>43</v>
      </c>
      <c r="B25" t="s">
        <v>44</v>
      </c>
      <c r="C25" t="s">
        <v>12</v>
      </c>
      <c r="D25" t="s">
        <v>45</v>
      </c>
      <c r="E25" t="s">
        <v>49</v>
      </c>
      <c r="F25" s="20" t="s">
        <v>50</v>
      </c>
      <c r="G25">
        <v>1151.883</v>
      </c>
      <c r="H25">
        <v>86.81</v>
      </c>
      <c r="I25" s="27">
        <f t="shared" si="0"/>
        <v>99994.963230000008</v>
      </c>
      <c r="J25" t="s">
        <v>48</v>
      </c>
      <c r="K25" t="s">
        <v>37</v>
      </c>
      <c r="L25">
        <v>51.8</v>
      </c>
      <c r="M25">
        <v>137.43</v>
      </c>
      <c r="N25" s="29">
        <f t="shared" si="1"/>
        <v>158303.28069000001</v>
      </c>
      <c r="O25">
        <v>0</v>
      </c>
      <c r="P25" s="27">
        <v>58308.32</v>
      </c>
      <c r="Q25" s="22">
        <f t="shared" si="2"/>
        <v>777</v>
      </c>
    </row>
    <row r="26" spans="1:17" x14ac:dyDescent="0.3">
      <c r="A26" s="30" t="s">
        <v>43</v>
      </c>
      <c r="B26" t="s">
        <v>44</v>
      </c>
      <c r="C26" t="s">
        <v>12</v>
      </c>
      <c r="D26" t="s">
        <v>45</v>
      </c>
      <c r="E26" t="s">
        <v>51</v>
      </c>
      <c r="F26" s="20" t="s">
        <v>52</v>
      </c>
      <c r="G26">
        <v>207.185</v>
      </c>
      <c r="H26">
        <v>85.19</v>
      </c>
      <c r="I26" s="27">
        <f t="shared" si="0"/>
        <v>17650.09015</v>
      </c>
      <c r="J26" t="s">
        <v>48</v>
      </c>
      <c r="K26" t="s">
        <v>37</v>
      </c>
      <c r="L26">
        <v>51.8</v>
      </c>
      <c r="M26">
        <v>137.43</v>
      </c>
      <c r="N26" s="29">
        <f t="shared" si="1"/>
        <v>28473.434550000002</v>
      </c>
      <c r="O26">
        <v>0</v>
      </c>
      <c r="P26" s="27">
        <v>10823.34</v>
      </c>
      <c r="Q26" s="22">
        <f t="shared" si="2"/>
        <v>766</v>
      </c>
    </row>
    <row r="27" spans="1:17" x14ac:dyDescent="0.3">
      <c r="A27" s="30" t="s">
        <v>31</v>
      </c>
      <c r="B27" t="s">
        <v>32</v>
      </c>
      <c r="C27" t="s">
        <v>12</v>
      </c>
      <c r="D27" t="s">
        <v>33</v>
      </c>
      <c r="E27" t="s">
        <v>34</v>
      </c>
      <c r="F27" s="20" t="s">
        <v>35</v>
      </c>
      <c r="G27">
        <v>249.131</v>
      </c>
      <c r="H27">
        <v>92.73</v>
      </c>
      <c r="I27" s="27">
        <f t="shared" si="0"/>
        <v>23101.91763</v>
      </c>
      <c r="J27" t="s">
        <v>53</v>
      </c>
      <c r="K27" t="s">
        <v>54</v>
      </c>
      <c r="L27">
        <v>61.11</v>
      </c>
      <c r="M27">
        <v>200.7</v>
      </c>
      <c r="N27" s="29">
        <f t="shared" si="1"/>
        <v>50000.591699999997</v>
      </c>
      <c r="O27">
        <v>0</v>
      </c>
      <c r="P27" s="27">
        <v>26898.67</v>
      </c>
      <c r="Q27" s="22">
        <f t="shared" si="2"/>
        <v>756</v>
      </c>
    </row>
    <row r="28" spans="1:17" x14ac:dyDescent="0.3">
      <c r="A28" s="30" t="s">
        <v>38</v>
      </c>
      <c r="B28" t="s">
        <v>39</v>
      </c>
      <c r="C28" t="s">
        <v>12</v>
      </c>
      <c r="D28" t="s">
        <v>33</v>
      </c>
      <c r="E28" t="s">
        <v>40</v>
      </c>
      <c r="F28" s="20" t="s">
        <v>41</v>
      </c>
      <c r="G28">
        <v>44.732999999999997</v>
      </c>
      <c r="H28">
        <v>761.57</v>
      </c>
      <c r="I28" s="27">
        <f t="shared" si="0"/>
        <v>34067.310810000003</v>
      </c>
      <c r="J28" t="s">
        <v>55</v>
      </c>
      <c r="K28" t="s">
        <v>54</v>
      </c>
      <c r="L28">
        <v>498.03</v>
      </c>
      <c r="M28">
        <v>1206.0170000000001</v>
      </c>
      <c r="N28" s="29">
        <f t="shared" si="1"/>
        <v>53948.758460999998</v>
      </c>
      <c r="O28">
        <v>0</v>
      </c>
      <c r="P28" s="27">
        <v>19881.45</v>
      </c>
      <c r="Q28" s="22">
        <f t="shared" si="2"/>
        <v>821</v>
      </c>
    </row>
    <row r="29" spans="1:17" x14ac:dyDescent="0.3">
      <c r="A29" s="30" t="s">
        <v>38</v>
      </c>
      <c r="B29" t="s">
        <v>39</v>
      </c>
      <c r="C29" t="s">
        <v>12</v>
      </c>
      <c r="D29" t="s">
        <v>33</v>
      </c>
      <c r="E29" t="s">
        <v>56</v>
      </c>
      <c r="F29" s="20" t="s">
        <v>50</v>
      </c>
      <c r="G29">
        <v>38.185000000000002</v>
      </c>
      <c r="H29">
        <v>755.03399999999999</v>
      </c>
      <c r="I29" s="27">
        <f t="shared" si="0"/>
        <v>28830.973290000002</v>
      </c>
      <c r="J29" t="s">
        <v>55</v>
      </c>
      <c r="K29" t="s">
        <v>54</v>
      </c>
      <c r="L29">
        <v>498.03</v>
      </c>
      <c r="M29">
        <v>1206.0170000000001</v>
      </c>
      <c r="N29" s="29">
        <f t="shared" si="1"/>
        <v>46051.759145000004</v>
      </c>
      <c r="O29">
        <v>0</v>
      </c>
      <c r="P29" s="27">
        <v>17220.79</v>
      </c>
      <c r="Q29" s="22">
        <f t="shared" si="2"/>
        <v>819</v>
      </c>
    </row>
    <row r="30" spans="1:17" x14ac:dyDescent="0.3">
      <c r="A30" s="30" t="s">
        <v>43</v>
      </c>
      <c r="B30" t="s">
        <v>44</v>
      </c>
      <c r="C30" t="s">
        <v>12</v>
      </c>
      <c r="D30" t="s">
        <v>45</v>
      </c>
      <c r="E30" t="s">
        <v>51</v>
      </c>
      <c r="F30" s="20" t="s">
        <v>52</v>
      </c>
      <c r="G30">
        <v>1353.4680000000001</v>
      </c>
      <c r="H30">
        <v>85.19</v>
      </c>
      <c r="I30" s="27">
        <f t="shared" si="0"/>
        <v>115301.93892</v>
      </c>
      <c r="J30" t="s">
        <v>57</v>
      </c>
      <c r="K30" t="s">
        <v>54</v>
      </c>
      <c r="L30">
        <v>51.8</v>
      </c>
      <c r="M30">
        <v>147.77000000000001</v>
      </c>
      <c r="N30" s="29">
        <f t="shared" si="1"/>
        <v>200001.96636000002</v>
      </c>
      <c r="O30">
        <v>0</v>
      </c>
      <c r="P30" s="27">
        <v>84700.03</v>
      </c>
      <c r="Q30" s="22">
        <f t="shared" si="2"/>
        <v>808</v>
      </c>
    </row>
    <row r="31" spans="1:17" x14ac:dyDescent="0.3">
      <c r="A31" s="30" t="s">
        <v>38</v>
      </c>
      <c r="B31" t="s">
        <v>39</v>
      </c>
      <c r="C31" t="s">
        <v>12</v>
      </c>
      <c r="D31" t="s">
        <v>33</v>
      </c>
      <c r="E31" t="s">
        <v>56</v>
      </c>
      <c r="F31" s="20" t="s">
        <v>50</v>
      </c>
      <c r="G31">
        <v>158.35400000000001</v>
      </c>
      <c r="H31">
        <v>755.03399999999999</v>
      </c>
      <c r="I31" s="27">
        <f t="shared" si="0"/>
        <v>119562.65403600001</v>
      </c>
      <c r="J31" t="s">
        <v>58</v>
      </c>
      <c r="K31" t="s">
        <v>59</v>
      </c>
      <c r="L31">
        <v>498.03</v>
      </c>
      <c r="M31">
        <v>1263.0050000000001</v>
      </c>
      <c r="N31" s="29">
        <f t="shared" si="1"/>
        <v>200001.89377000002</v>
      </c>
      <c r="O31">
        <v>0</v>
      </c>
      <c r="P31" s="27">
        <v>80439.240000000005</v>
      </c>
      <c r="Q31" s="22">
        <f t="shared" si="2"/>
        <v>879</v>
      </c>
    </row>
    <row r="32" spans="1:17" x14ac:dyDescent="0.3">
      <c r="A32" s="30" t="s">
        <v>43</v>
      </c>
      <c r="B32" t="s">
        <v>44</v>
      </c>
      <c r="C32" t="s">
        <v>12</v>
      </c>
      <c r="D32" t="s">
        <v>45</v>
      </c>
      <c r="E32" t="s">
        <v>51</v>
      </c>
      <c r="F32" s="20" t="s">
        <v>52</v>
      </c>
      <c r="G32">
        <v>200.029</v>
      </c>
      <c r="H32">
        <v>85.19</v>
      </c>
      <c r="I32" s="27">
        <f t="shared" si="0"/>
        <v>17040.470509999999</v>
      </c>
      <c r="J32" t="s">
        <v>60</v>
      </c>
      <c r="K32" t="s">
        <v>59</v>
      </c>
      <c r="L32">
        <v>51.8</v>
      </c>
      <c r="M32">
        <v>158.44999999999999</v>
      </c>
      <c r="N32" s="29">
        <f t="shared" si="1"/>
        <v>31694.595049999996</v>
      </c>
      <c r="O32">
        <v>0</v>
      </c>
      <c r="P32" s="27">
        <v>14654.12</v>
      </c>
      <c r="Q32" s="22">
        <f t="shared" si="2"/>
        <v>868</v>
      </c>
    </row>
    <row r="33" spans="1:21" x14ac:dyDescent="0.3">
      <c r="A33" s="30" t="s">
        <v>43</v>
      </c>
      <c r="B33" t="s">
        <v>44</v>
      </c>
      <c r="C33" t="s">
        <v>12</v>
      </c>
      <c r="D33" t="s">
        <v>45</v>
      </c>
      <c r="E33" t="s">
        <v>61</v>
      </c>
      <c r="F33" s="20" t="s">
        <v>62</v>
      </c>
      <c r="G33">
        <v>1194.5409999999999</v>
      </c>
      <c r="H33">
        <v>83.71</v>
      </c>
      <c r="I33" s="27">
        <f t="shared" si="0"/>
        <v>99995.027109999981</v>
      </c>
      <c r="J33" t="s">
        <v>60</v>
      </c>
      <c r="K33" t="s">
        <v>59</v>
      </c>
      <c r="L33">
        <v>51.8</v>
      </c>
      <c r="M33">
        <v>158.44999999999999</v>
      </c>
      <c r="N33" s="29">
        <f t="shared" si="1"/>
        <v>189275.02144999997</v>
      </c>
      <c r="O33">
        <v>0</v>
      </c>
      <c r="P33" s="27">
        <v>89279.99</v>
      </c>
      <c r="Q33" s="22">
        <f t="shared" si="2"/>
        <v>861</v>
      </c>
    </row>
    <row r="34" spans="1:21" x14ac:dyDescent="0.3">
      <c r="A34" s="30" t="s">
        <v>43</v>
      </c>
      <c r="B34" t="s">
        <v>44</v>
      </c>
      <c r="C34" t="s">
        <v>12</v>
      </c>
      <c r="D34" t="s">
        <v>45</v>
      </c>
      <c r="E34" t="s">
        <v>63</v>
      </c>
      <c r="F34" s="20" t="s">
        <v>64</v>
      </c>
      <c r="G34">
        <v>498.791</v>
      </c>
      <c r="H34">
        <v>79.989999999999995</v>
      </c>
      <c r="I34" s="27">
        <f t="shared" si="0"/>
        <v>39898.292089999995</v>
      </c>
      <c r="J34" t="s">
        <v>60</v>
      </c>
      <c r="K34" t="s">
        <v>59</v>
      </c>
      <c r="L34">
        <v>51.8</v>
      </c>
      <c r="M34">
        <v>158.44999999999999</v>
      </c>
      <c r="N34" s="29">
        <f t="shared" si="1"/>
        <v>79033.433949999991</v>
      </c>
      <c r="O34">
        <v>0</v>
      </c>
      <c r="P34" s="27">
        <v>39135.14</v>
      </c>
      <c r="Q34" s="22">
        <f t="shared" si="2"/>
        <v>839</v>
      </c>
    </row>
    <row r="35" spans="1:21" x14ac:dyDescent="0.3">
      <c r="A35" s="30" t="s">
        <v>38</v>
      </c>
      <c r="B35" t="s">
        <v>39</v>
      </c>
      <c r="C35" t="s">
        <v>12</v>
      </c>
      <c r="D35" t="s">
        <v>33</v>
      </c>
      <c r="E35" t="s">
        <v>56</v>
      </c>
      <c r="F35" s="20" t="s">
        <v>50</v>
      </c>
      <c r="G35">
        <v>68.335999999999999</v>
      </c>
      <c r="H35">
        <v>755.03399999999999</v>
      </c>
      <c r="I35" s="27">
        <f t="shared" si="0"/>
        <v>51596.003423999995</v>
      </c>
      <c r="J35" t="s">
        <v>65</v>
      </c>
      <c r="K35" t="s">
        <v>66</v>
      </c>
      <c r="L35">
        <v>498.03</v>
      </c>
      <c r="M35">
        <v>1302.595</v>
      </c>
      <c r="N35" s="29">
        <f t="shared" si="1"/>
        <v>89014.13192</v>
      </c>
      <c r="O35">
        <v>0</v>
      </c>
      <c r="P35" s="27">
        <v>37418.129999999997</v>
      </c>
      <c r="Q35" s="22">
        <f t="shared" si="2"/>
        <v>900</v>
      </c>
    </row>
    <row r="36" spans="1:21" x14ac:dyDescent="0.3">
      <c r="A36" s="30" t="s">
        <v>38</v>
      </c>
      <c r="B36" t="s">
        <v>39</v>
      </c>
      <c r="C36" t="s">
        <v>12</v>
      </c>
      <c r="D36" t="s">
        <v>33</v>
      </c>
      <c r="E36" t="s">
        <v>67</v>
      </c>
      <c r="F36" s="20" t="s">
        <v>52</v>
      </c>
      <c r="G36">
        <v>85.204999999999998</v>
      </c>
      <c r="H36">
        <v>741.702</v>
      </c>
      <c r="I36" s="27">
        <f t="shared" si="0"/>
        <v>63196.718909999996</v>
      </c>
      <c r="J36" t="s">
        <v>65</v>
      </c>
      <c r="K36" t="s">
        <v>66</v>
      </c>
      <c r="L36">
        <v>498.03</v>
      </c>
      <c r="M36">
        <v>1302.595</v>
      </c>
      <c r="N36" s="29">
        <f t="shared" si="1"/>
        <v>110987.606975</v>
      </c>
      <c r="O36">
        <v>0</v>
      </c>
      <c r="P36" s="27">
        <v>47790.89</v>
      </c>
      <c r="Q36" s="22">
        <f t="shared" si="2"/>
        <v>889</v>
      </c>
    </row>
    <row r="37" spans="1:21" x14ac:dyDescent="0.3">
      <c r="A37" s="30" t="s">
        <v>43</v>
      </c>
      <c r="B37" t="s">
        <v>44</v>
      </c>
      <c r="C37" t="s">
        <v>12</v>
      </c>
      <c r="D37" t="s">
        <v>45</v>
      </c>
      <c r="E37" t="s">
        <v>63</v>
      </c>
      <c r="F37" s="20" t="s">
        <v>64</v>
      </c>
      <c r="G37">
        <v>751.303</v>
      </c>
      <c r="H37">
        <v>79.989999999999995</v>
      </c>
      <c r="I37" s="27">
        <f t="shared" si="0"/>
        <v>60096.726969999996</v>
      </c>
      <c r="J37" t="s">
        <v>68</v>
      </c>
      <c r="K37" t="s">
        <v>66</v>
      </c>
      <c r="L37">
        <v>51.8</v>
      </c>
      <c r="M37">
        <v>165.85</v>
      </c>
      <c r="N37" s="29">
        <f t="shared" si="1"/>
        <v>124603.60255</v>
      </c>
      <c r="O37">
        <v>0</v>
      </c>
      <c r="P37" s="27">
        <v>64506.879999999997</v>
      </c>
      <c r="Q37" s="22">
        <f t="shared" si="2"/>
        <v>860</v>
      </c>
    </row>
    <row r="38" spans="1:21" x14ac:dyDescent="0.3">
      <c r="A38" s="30" t="s">
        <v>43</v>
      </c>
      <c r="B38" t="s">
        <v>44</v>
      </c>
      <c r="C38" t="s">
        <v>12</v>
      </c>
      <c r="D38" t="s">
        <v>45</v>
      </c>
      <c r="E38" t="s">
        <v>69</v>
      </c>
      <c r="F38" s="20" t="s">
        <v>35</v>
      </c>
      <c r="G38">
        <v>454.61799999999999</v>
      </c>
      <c r="H38">
        <v>80.52</v>
      </c>
      <c r="I38" s="27">
        <f t="shared" si="0"/>
        <v>36605.841359999999</v>
      </c>
      <c r="J38" t="s">
        <v>68</v>
      </c>
      <c r="K38" t="s">
        <v>66</v>
      </c>
      <c r="L38">
        <v>51.8</v>
      </c>
      <c r="M38">
        <v>165.85</v>
      </c>
      <c r="N38" s="29">
        <f t="shared" si="1"/>
        <v>75398.395300000004</v>
      </c>
      <c r="O38">
        <v>0</v>
      </c>
      <c r="P38" s="27">
        <v>38792.550000000003</v>
      </c>
      <c r="Q38" s="22">
        <f t="shared" si="2"/>
        <v>837</v>
      </c>
    </row>
    <row r="39" spans="1:21" x14ac:dyDescent="0.3">
      <c r="I39" s="32">
        <f>SUM(I22:I38)</f>
        <v>971944.80403</v>
      </c>
      <c r="N39" s="31">
        <f>SUM(N22:N38)</f>
        <v>1700016.077577</v>
      </c>
    </row>
    <row r="40" spans="1:21" x14ac:dyDescent="0.3">
      <c r="A40" s="14" t="s">
        <v>70</v>
      </c>
    </row>
    <row r="41" spans="1:21" x14ac:dyDescent="0.3">
      <c r="G41">
        <f>G43*H43</f>
        <v>499975.00747870002</v>
      </c>
      <c r="J41">
        <f>G43*M43</f>
        <v>589168.01499920001</v>
      </c>
      <c r="K41">
        <f>J41-G41</f>
        <v>89193.007520499988</v>
      </c>
      <c r="U41" s="24"/>
    </row>
    <row r="42" spans="1:21" x14ac:dyDescent="0.3">
      <c r="A42" s="15" t="s">
        <v>17</v>
      </c>
      <c r="B42" s="15" t="s">
        <v>18</v>
      </c>
      <c r="C42" s="15" t="s">
        <v>19</v>
      </c>
      <c r="D42" s="15" t="s">
        <v>20</v>
      </c>
      <c r="E42" s="15" t="s">
        <v>21</v>
      </c>
      <c r="F42" s="15" t="s">
        <v>22</v>
      </c>
      <c r="G42" s="15" t="s">
        <v>23</v>
      </c>
      <c r="H42" s="15" t="s">
        <v>24</v>
      </c>
      <c r="I42" s="2" t="s">
        <v>24</v>
      </c>
      <c r="J42" s="15" t="s">
        <v>25</v>
      </c>
      <c r="K42" s="15" t="s">
        <v>26</v>
      </c>
      <c r="L42" s="15" t="s">
        <v>27</v>
      </c>
      <c r="M42" s="15" t="s">
        <v>28</v>
      </c>
      <c r="N42" s="2" t="s">
        <v>114</v>
      </c>
      <c r="O42" s="15" t="s">
        <v>29</v>
      </c>
      <c r="P42" s="15" t="s">
        <v>30</v>
      </c>
      <c r="U42" s="25"/>
    </row>
    <row r="43" spans="1:21" x14ac:dyDescent="0.3">
      <c r="A43" t="s">
        <v>71</v>
      </c>
      <c r="B43" t="s">
        <v>72</v>
      </c>
      <c r="C43" t="s">
        <v>13</v>
      </c>
      <c r="D43" t="s">
        <v>33</v>
      </c>
      <c r="E43" t="s">
        <v>73</v>
      </c>
      <c r="F43" t="s">
        <v>74</v>
      </c>
      <c r="G43">
        <v>25604.422999999999</v>
      </c>
      <c r="H43">
        <v>19.526900000000001</v>
      </c>
      <c r="I43" s="27">
        <f>G43*H43</f>
        <v>499975.00747870002</v>
      </c>
      <c r="J43" t="s">
        <v>75</v>
      </c>
      <c r="K43" s="23" t="s">
        <v>76</v>
      </c>
      <c r="L43">
        <v>14.01</v>
      </c>
      <c r="M43">
        <v>23.010400000000001</v>
      </c>
      <c r="N43" s="27">
        <f>G43*M43</f>
        <v>589168.01499920001</v>
      </c>
      <c r="O43" s="27">
        <v>0</v>
      </c>
      <c r="P43" s="27">
        <v>89193.01</v>
      </c>
      <c r="Q43">
        <f>K43-F43</f>
        <v>808</v>
      </c>
      <c r="R43" t="s">
        <v>116</v>
      </c>
      <c r="S43" s="22"/>
    </row>
    <row r="44" spans="1:21" x14ac:dyDescent="0.3">
      <c r="A44" t="s">
        <v>71</v>
      </c>
      <c r="B44" t="s">
        <v>72</v>
      </c>
      <c r="C44" t="s">
        <v>13</v>
      </c>
      <c r="D44" t="s">
        <v>33</v>
      </c>
      <c r="E44" t="s">
        <v>77</v>
      </c>
      <c r="F44" t="s">
        <v>78</v>
      </c>
      <c r="G44">
        <v>17854.187000000002</v>
      </c>
      <c r="H44">
        <v>19.5944</v>
      </c>
      <c r="I44" s="27">
        <f t="shared" ref="I44:I52" si="3">G44*H44</f>
        <v>349842.08175280003</v>
      </c>
      <c r="J44" t="s">
        <v>75</v>
      </c>
      <c r="K44" s="23" t="s">
        <v>76</v>
      </c>
      <c r="L44">
        <v>14.01</v>
      </c>
      <c r="M44">
        <v>23.010400000000001</v>
      </c>
      <c r="N44" s="27">
        <f t="shared" ref="N44:N52" si="4">G44*M44</f>
        <v>410831.98454480007</v>
      </c>
      <c r="O44" s="27">
        <v>0</v>
      </c>
      <c r="P44" s="27">
        <v>60989.9</v>
      </c>
      <c r="Q44">
        <f t="shared" ref="Q44:Q52" si="5">K44-F44</f>
        <v>790</v>
      </c>
      <c r="R44" t="s">
        <v>116</v>
      </c>
      <c r="S44" s="22"/>
    </row>
    <row r="45" spans="1:21" x14ac:dyDescent="0.3">
      <c r="A45" t="s">
        <v>79</v>
      </c>
      <c r="B45" t="s">
        <v>80</v>
      </c>
      <c r="C45" t="s">
        <v>13</v>
      </c>
      <c r="D45" t="s">
        <v>81</v>
      </c>
      <c r="E45" t="s">
        <v>82</v>
      </c>
      <c r="F45" t="s">
        <v>83</v>
      </c>
      <c r="G45">
        <v>18190.803</v>
      </c>
      <c r="H45">
        <v>28.936599999999999</v>
      </c>
      <c r="I45" s="27">
        <f t="shared" si="3"/>
        <v>526379.99008979998</v>
      </c>
      <c r="J45" t="s">
        <v>84</v>
      </c>
      <c r="K45" s="23" t="s">
        <v>85</v>
      </c>
      <c r="L45">
        <v>19.87</v>
      </c>
      <c r="M45">
        <v>32.983699999999999</v>
      </c>
      <c r="N45" s="27">
        <f t="shared" si="4"/>
        <v>599999.98891109996</v>
      </c>
      <c r="O45" s="27">
        <v>73620</v>
      </c>
      <c r="P45" s="27">
        <v>0</v>
      </c>
      <c r="Q45">
        <f t="shared" si="5"/>
        <v>637</v>
      </c>
      <c r="R45" t="s">
        <v>117</v>
      </c>
      <c r="S45" s="22"/>
    </row>
    <row r="46" spans="1:21" x14ac:dyDescent="0.3">
      <c r="A46" t="s">
        <v>71</v>
      </c>
      <c r="B46" t="s">
        <v>72</v>
      </c>
      <c r="C46" t="s">
        <v>13</v>
      </c>
      <c r="D46" t="s">
        <v>33</v>
      </c>
      <c r="E46" t="s">
        <v>77</v>
      </c>
      <c r="F46" t="s">
        <v>78</v>
      </c>
      <c r="G46">
        <v>33178.250999999997</v>
      </c>
      <c r="H46">
        <v>19.5944</v>
      </c>
      <c r="I46" s="27">
        <f t="shared" si="3"/>
        <v>650107.92139439995</v>
      </c>
      <c r="J46" t="s">
        <v>86</v>
      </c>
      <c r="K46" s="23" t="s">
        <v>87</v>
      </c>
      <c r="L46">
        <v>14.01</v>
      </c>
      <c r="M46">
        <v>23.107900000000001</v>
      </c>
      <c r="N46" s="27">
        <f t="shared" si="4"/>
        <v>766679.70628289995</v>
      </c>
      <c r="O46" s="27">
        <v>0</v>
      </c>
      <c r="P46" s="27">
        <v>116571.78</v>
      </c>
      <c r="Q46">
        <f t="shared" si="5"/>
        <v>821</v>
      </c>
      <c r="R46" t="s">
        <v>116</v>
      </c>
      <c r="S46" s="22"/>
    </row>
    <row r="47" spans="1:21" x14ac:dyDescent="0.3">
      <c r="A47" t="s">
        <v>71</v>
      </c>
      <c r="B47" t="s">
        <v>72</v>
      </c>
      <c r="C47" t="s">
        <v>13</v>
      </c>
      <c r="D47" t="s">
        <v>33</v>
      </c>
      <c r="E47" t="s">
        <v>88</v>
      </c>
      <c r="F47" t="s">
        <v>89</v>
      </c>
      <c r="G47">
        <v>1441.944</v>
      </c>
      <c r="H47">
        <v>19.612100000000002</v>
      </c>
      <c r="I47" s="27">
        <f t="shared" si="3"/>
        <v>28279.549922400001</v>
      </c>
      <c r="J47" t="s">
        <v>86</v>
      </c>
      <c r="K47" s="23" t="s">
        <v>87</v>
      </c>
      <c r="L47">
        <v>14.01</v>
      </c>
      <c r="M47">
        <v>23.107900000000001</v>
      </c>
      <c r="N47" s="27">
        <f t="shared" si="4"/>
        <v>33320.297757599998</v>
      </c>
      <c r="O47" s="27">
        <v>0</v>
      </c>
      <c r="P47" s="27">
        <v>5040.75</v>
      </c>
      <c r="Q47">
        <f t="shared" si="5"/>
        <v>818</v>
      </c>
      <c r="R47" t="s">
        <v>116</v>
      </c>
      <c r="S47" s="22"/>
    </row>
    <row r="48" spans="1:21" x14ac:dyDescent="0.3">
      <c r="A48" t="s">
        <v>90</v>
      </c>
      <c r="B48" t="s">
        <v>91</v>
      </c>
      <c r="C48" t="s">
        <v>13</v>
      </c>
      <c r="D48" t="s">
        <v>33</v>
      </c>
      <c r="E48" t="s">
        <v>92</v>
      </c>
      <c r="F48" t="s">
        <v>93</v>
      </c>
      <c r="G48">
        <v>17654.484</v>
      </c>
      <c r="H48">
        <v>11.327999999999999</v>
      </c>
      <c r="I48" s="27">
        <f t="shared" si="3"/>
        <v>199989.994752</v>
      </c>
      <c r="J48" t="s">
        <v>94</v>
      </c>
      <c r="K48" s="23" t="s">
        <v>95</v>
      </c>
      <c r="L48">
        <v>0</v>
      </c>
      <c r="M48">
        <v>15.308</v>
      </c>
      <c r="N48" s="27">
        <f t="shared" si="4"/>
        <v>270254.84107199998</v>
      </c>
      <c r="O48" s="27">
        <v>70264.850000000006</v>
      </c>
      <c r="P48" s="27">
        <v>0</v>
      </c>
      <c r="Q48">
        <f t="shared" si="5"/>
        <v>593</v>
      </c>
      <c r="R48" t="s">
        <v>117</v>
      </c>
      <c r="S48" s="22"/>
    </row>
    <row r="49" spans="1:19" x14ac:dyDescent="0.3">
      <c r="A49" t="s">
        <v>90</v>
      </c>
      <c r="B49" t="s">
        <v>91</v>
      </c>
      <c r="C49" t="s">
        <v>13</v>
      </c>
      <c r="D49" t="s">
        <v>33</v>
      </c>
      <c r="E49" t="s">
        <v>96</v>
      </c>
      <c r="F49" t="s">
        <v>97</v>
      </c>
      <c r="G49">
        <v>15008.175999999999</v>
      </c>
      <c r="H49">
        <v>11.394</v>
      </c>
      <c r="I49" s="27">
        <f t="shared" si="3"/>
        <v>171003.15734400001</v>
      </c>
      <c r="J49" t="s">
        <v>94</v>
      </c>
      <c r="K49" s="23" t="s">
        <v>95</v>
      </c>
      <c r="L49">
        <v>0</v>
      </c>
      <c r="M49">
        <v>15.308</v>
      </c>
      <c r="N49" s="27">
        <f t="shared" si="4"/>
        <v>229745.15820799998</v>
      </c>
      <c r="O49" s="27">
        <v>58742</v>
      </c>
      <c r="P49" s="27">
        <v>0</v>
      </c>
      <c r="Q49">
        <f t="shared" si="5"/>
        <v>581</v>
      </c>
      <c r="R49" t="s">
        <v>117</v>
      </c>
      <c r="S49" s="22"/>
    </row>
    <row r="50" spans="1:19" x14ac:dyDescent="0.3">
      <c r="A50" t="s">
        <v>79</v>
      </c>
      <c r="B50" t="s">
        <v>80</v>
      </c>
      <c r="C50" t="s">
        <v>13</v>
      </c>
      <c r="D50" t="s">
        <v>81</v>
      </c>
      <c r="E50" t="s">
        <v>82</v>
      </c>
      <c r="F50" t="s">
        <v>83</v>
      </c>
      <c r="G50">
        <v>9454.4629999999997</v>
      </c>
      <c r="H50">
        <v>28.936599999999999</v>
      </c>
      <c r="I50" s="27">
        <f t="shared" si="3"/>
        <v>273580.01404579997</v>
      </c>
      <c r="J50" t="s">
        <v>98</v>
      </c>
      <c r="K50" s="23" t="s">
        <v>99</v>
      </c>
      <c r="L50">
        <v>19.87</v>
      </c>
      <c r="M50">
        <v>32.993899999999996</v>
      </c>
      <c r="N50" s="27">
        <f t="shared" si="4"/>
        <v>311939.60677569994</v>
      </c>
      <c r="O50" s="27">
        <v>38359.589999999997</v>
      </c>
      <c r="P50" s="27">
        <v>0</v>
      </c>
      <c r="Q50">
        <f t="shared" si="5"/>
        <v>646</v>
      </c>
      <c r="R50" t="s">
        <v>117</v>
      </c>
      <c r="S50" s="22"/>
    </row>
    <row r="51" spans="1:19" x14ac:dyDescent="0.3">
      <c r="A51" t="s">
        <v>79</v>
      </c>
      <c r="B51" t="s">
        <v>80</v>
      </c>
      <c r="C51" t="s">
        <v>13</v>
      </c>
      <c r="D51" t="s">
        <v>81</v>
      </c>
      <c r="E51" t="s">
        <v>100</v>
      </c>
      <c r="F51" t="s">
        <v>101</v>
      </c>
      <c r="G51">
        <v>20854.169999999998</v>
      </c>
      <c r="H51">
        <v>29.014500000000002</v>
      </c>
      <c r="I51" s="27">
        <f t="shared" si="3"/>
        <v>605073.31546499999</v>
      </c>
      <c r="J51" t="s">
        <v>98</v>
      </c>
      <c r="K51" s="23" t="s">
        <v>99</v>
      </c>
      <c r="L51">
        <v>19.87</v>
      </c>
      <c r="M51">
        <v>32.993899999999996</v>
      </c>
      <c r="N51" s="27">
        <f t="shared" si="4"/>
        <v>688060.39956299984</v>
      </c>
      <c r="O51" s="27">
        <v>82987.08</v>
      </c>
      <c r="P51" s="27">
        <v>0</v>
      </c>
      <c r="Q51">
        <f t="shared" si="5"/>
        <v>630</v>
      </c>
      <c r="R51" t="s">
        <v>117</v>
      </c>
      <c r="S51" s="22"/>
    </row>
    <row r="52" spans="1:19" x14ac:dyDescent="0.3">
      <c r="A52" t="s">
        <v>102</v>
      </c>
      <c r="B52" t="s">
        <v>103</v>
      </c>
      <c r="C52" t="s">
        <v>13</v>
      </c>
      <c r="D52" t="s">
        <v>33</v>
      </c>
      <c r="E52" t="s">
        <v>104</v>
      </c>
      <c r="F52" t="s">
        <v>105</v>
      </c>
      <c r="G52">
        <v>83679.907999999996</v>
      </c>
      <c r="H52">
        <v>11.7476</v>
      </c>
      <c r="I52" s="27">
        <f t="shared" si="3"/>
        <v>983038.08722079999</v>
      </c>
      <c r="J52" t="s">
        <v>106</v>
      </c>
      <c r="K52" s="23" t="s">
        <v>99</v>
      </c>
      <c r="L52">
        <v>0</v>
      </c>
      <c r="M52">
        <v>11.9503</v>
      </c>
      <c r="N52" s="27">
        <f t="shared" si="4"/>
        <v>1000000.0045724</v>
      </c>
      <c r="O52" s="27">
        <v>16961.919999999998</v>
      </c>
      <c r="P52" s="27">
        <v>0</v>
      </c>
      <c r="Q52">
        <f t="shared" si="5"/>
        <v>176</v>
      </c>
      <c r="R52" t="s">
        <v>117</v>
      </c>
      <c r="S52" s="22"/>
    </row>
    <row r="53" spans="1:19" x14ac:dyDescent="0.3">
      <c r="I53" s="32">
        <f>SUM(I43:I52)</f>
        <v>4287269.1194656994</v>
      </c>
      <c r="K53" s="20"/>
      <c r="N53" s="32">
        <f>SUM(N43:N52)</f>
        <v>4900000.0026866999</v>
      </c>
      <c r="O53" s="31">
        <f>SUM(O43:O52)</f>
        <v>340935.44</v>
      </c>
      <c r="P53" s="31">
        <f>SUM(P43:P52)</f>
        <v>271795.44</v>
      </c>
    </row>
    <row r="54" spans="1:19" x14ac:dyDescent="0.3">
      <c r="A54" s="16" t="s">
        <v>107</v>
      </c>
      <c r="J54" s="19"/>
      <c r="K54" s="19"/>
    </row>
    <row r="56" spans="1:19" x14ac:dyDescent="0.3">
      <c r="A56" s="17" t="s">
        <v>17</v>
      </c>
      <c r="B56" s="17" t="s">
        <v>18</v>
      </c>
      <c r="C56" s="17" t="s">
        <v>19</v>
      </c>
      <c r="D56" s="17" t="s">
        <v>20</v>
      </c>
      <c r="E56" s="17" t="s">
        <v>21</v>
      </c>
      <c r="F56" s="17" t="s">
        <v>22</v>
      </c>
      <c r="G56" s="17" t="s">
        <v>23</v>
      </c>
      <c r="H56" s="17" t="s">
        <v>24</v>
      </c>
      <c r="I56" s="17"/>
      <c r="J56" s="17" t="s">
        <v>25</v>
      </c>
      <c r="K56" s="17" t="s">
        <v>26</v>
      </c>
      <c r="L56" s="17" t="s">
        <v>27</v>
      </c>
      <c r="M56" s="17" t="s">
        <v>28</v>
      </c>
      <c r="N56" s="17"/>
      <c r="O56" s="17" t="s">
        <v>29</v>
      </c>
      <c r="P56" s="17" t="s">
        <v>30</v>
      </c>
    </row>
    <row r="58" spans="1:19" x14ac:dyDescent="0.3">
      <c r="A58" t="s">
        <v>108</v>
      </c>
    </row>
    <row r="59" spans="1:19" x14ac:dyDescent="0.3">
      <c r="A59" t="s">
        <v>109</v>
      </c>
      <c r="N59" s="28">
        <f>N53+N39</f>
        <v>6600016.0802637003</v>
      </c>
    </row>
    <row r="60" spans="1:19" x14ac:dyDescent="0.3">
      <c r="A60" t="s">
        <v>110</v>
      </c>
    </row>
    <row r="61" spans="1:19" x14ac:dyDescent="0.3">
      <c r="A61" t="s">
        <v>111</v>
      </c>
    </row>
    <row r="62" spans="1:19" x14ac:dyDescent="0.3">
      <c r="A62" t="s">
        <v>112</v>
      </c>
    </row>
    <row r="63" spans="1:19" x14ac:dyDescent="0.3">
      <c r="A63" t="s">
        <v>113</v>
      </c>
    </row>
  </sheetData>
  <autoFilter ref="A21:P38" xr:uid="{00000000-0001-0000-0000-000000000000}"/>
  <mergeCells count="1">
    <mergeCell ref="D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ED70-80EC-41BD-872A-5AF4A6967A6D}">
  <dimension ref="A1:A17"/>
  <sheetViews>
    <sheetView workbookViewId="0">
      <selection sqref="A1:A17"/>
    </sheetView>
  </sheetViews>
  <sheetFormatPr defaultRowHeight="14.4" x14ac:dyDescent="0.3"/>
  <cols>
    <col min="1" max="1" width="10.109375" bestFit="1" customWidth="1"/>
  </cols>
  <sheetData>
    <row r="1" spans="1:1" x14ac:dyDescent="0.3">
      <c r="A1" s="19"/>
    </row>
    <row r="2" spans="1:1" x14ac:dyDescent="0.3">
      <c r="A2" s="19"/>
    </row>
    <row r="3" spans="1:1" x14ac:dyDescent="0.3">
      <c r="A3" s="19"/>
    </row>
    <row r="4" spans="1:1" x14ac:dyDescent="0.3">
      <c r="A4" s="19"/>
    </row>
    <row r="5" spans="1:1" x14ac:dyDescent="0.3">
      <c r="A5" s="19"/>
    </row>
    <row r="6" spans="1:1" x14ac:dyDescent="0.3">
      <c r="A6" s="19"/>
    </row>
    <row r="7" spans="1:1" x14ac:dyDescent="0.3">
      <c r="A7" s="19"/>
    </row>
    <row r="8" spans="1:1" x14ac:dyDescent="0.3">
      <c r="A8" s="19"/>
    </row>
    <row r="9" spans="1:1" x14ac:dyDescent="0.3">
      <c r="A9" s="19"/>
    </row>
    <row r="10" spans="1:1" x14ac:dyDescent="0.3">
      <c r="A10" s="19"/>
    </row>
    <row r="11" spans="1:1" x14ac:dyDescent="0.3">
      <c r="A11" s="19"/>
    </row>
    <row r="12" spans="1:1" x14ac:dyDescent="0.3">
      <c r="A12" s="19"/>
    </row>
    <row r="13" spans="1:1" x14ac:dyDescent="0.3">
      <c r="A13" s="19"/>
    </row>
    <row r="14" spans="1:1" x14ac:dyDescent="0.3">
      <c r="A14" s="19"/>
    </row>
    <row r="15" spans="1:1" x14ac:dyDescent="0.3">
      <c r="A15" s="19"/>
    </row>
    <row r="16" spans="1:1" x14ac:dyDescent="0.3">
      <c r="A16" s="19"/>
    </row>
    <row r="17" spans="1:1" x14ac:dyDescent="0.3">
      <c r="A17"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AFBD-2D12-4DDE-9C79-E869E254DB9A}">
  <dimension ref="A1:C16"/>
  <sheetViews>
    <sheetView topLeftCell="A2" workbookViewId="0">
      <selection activeCell="C17" sqref="C17:C18"/>
    </sheetView>
  </sheetViews>
  <sheetFormatPr defaultRowHeight="14.4" x14ac:dyDescent="0.3"/>
  <sheetData>
    <row r="1" spans="1:3" x14ac:dyDescent="0.3">
      <c r="A1" s="19" t="s">
        <v>37</v>
      </c>
      <c r="C1" t="str">
        <f>TEXT(A1,"DD-MM-YYYY")</f>
        <v>23-05-2024</v>
      </c>
    </row>
    <row r="2" spans="1:3" x14ac:dyDescent="0.3">
      <c r="A2" s="19" t="s">
        <v>37</v>
      </c>
      <c r="C2" t="str">
        <f t="shared" ref="C2:C16" si="0">TEXT(A2,"DD-MM-YYYY")</f>
        <v>23-05-2024</v>
      </c>
    </row>
    <row r="3" spans="1:3" x14ac:dyDescent="0.3">
      <c r="A3" s="19" t="s">
        <v>37</v>
      </c>
      <c r="C3" t="str">
        <f t="shared" si="0"/>
        <v>23-05-2024</v>
      </c>
    </row>
    <row r="4" spans="1:3" x14ac:dyDescent="0.3">
      <c r="A4" s="19" t="s">
        <v>37</v>
      </c>
      <c r="C4" t="str">
        <f t="shared" si="0"/>
        <v>23-05-2024</v>
      </c>
    </row>
    <row r="5" spans="1:3" x14ac:dyDescent="0.3">
      <c r="A5" s="19" t="s">
        <v>54</v>
      </c>
      <c r="C5" t="str">
        <f t="shared" si="0"/>
        <v>04-07-2024</v>
      </c>
    </row>
    <row r="6" spans="1:3" x14ac:dyDescent="0.3">
      <c r="A6" s="19" t="s">
        <v>54</v>
      </c>
      <c r="C6" t="str">
        <f t="shared" si="0"/>
        <v>04-07-2024</v>
      </c>
    </row>
    <row r="7" spans="1:3" x14ac:dyDescent="0.3">
      <c r="A7" s="19" t="s">
        <v>54</v>
      </c>
      <c r="C7" t="str">
        <f t="shared" si="0"/>
        <v>04-07-2024</v>
      </c>
    </row>
    <row r="8" spans="1:3" x14ac:dyDescent="0.3">
      <c r="A8" s="19" t="s">
        <v>54</v>
      </c>
      <c r="C8" t="str">
        <f t="shared" si="0"/>
        <v>04-07-2024</v>
      </c>
    </row>
    <row r="9" spans="1:3" x14ac:dyDescent="0.3">
      <c r="A9" s="19" t="s">
        <v>59</v>
      </c>
      <c r="C9" t="str">
        <f t="shared" si="0"/>
        <v>02-09-2024</v>
      </c>
    </row>
    <row r="10" spans="1:3" x14ac:dyDescent="0.3">
      <c r="A10" s="19" t="s">
        <v>59</v>
      </c>
      <c r="C10" t="str">
        <f t="shared" si="0"/>
        <v>02-09-2024</v>
      </c>
    </row>
    <row r="11" spans="1:3" x14ac:dyDescent="0.3">
      <c r="A11" s="19" t="s">
        <v>59</v>
      </c>
      <c r="C11" t="str">
        <f t="shared" si="0"/>
        <v>02-09-2024</v>
      </c>
    </row>
    <row r="12" spans="1:3" x14ac:dyDescent="0.3">
      <c r="A12" s="19" t="s">
        <v>59</v>
      </c>
      <c r="C12" t="str">
        <f t="shared" si="0"/>
        <v>02-09-2024</v>
      </c>
    </row>
    <row r="13" spans="1:3" x14ac:dyDescent="0.3">
      <c r="A13" s="19" t="s">
        <v>66</v>
      </c>
      <c r="C13" t="str">
        <f t="shared" si="0"/>
        <v>23-09-2024</v>
      </c>
    </row>
    <row r="14" spans="1:3" x14ac:dyDescent="0.3">
      <c r="A14" s="19" t="s">
        <v>66</v>
      </c>
      <c r="C14" t="str">
        <f t="shared" si="0"/>
        <v>23-09-2024</v>
      </c>
    </row>
    <row r="15" spans="1:3" x14ac:dyDescent="0.3">
      <c r="A15" s="19" t="s">
        <v>66</v>
      </c>
      <c r="C15" t="str">
        <f t="shared" si="0"/>
        <v>23-09-2024</v>
      </c>
    </row>
    <row r="16" spans="1:3" x14ac:dyDescent="0.3">
      <c r="A16" s="19" t="s">
        <v>66</v>
      </c>
      <c r="C16" t="str">
        <f t="shared" si="0"/>
        <v>23-09-2024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A22C8C24471D43973AF2635412B01B" ma:contentTypeVersion="18" ma:contentTypeDescription="Create a new document." ma:contentTypeScope="" ma:versionID="bf5240b13b381a9c7aabacc7f93c41a9">
  <xsd:schema xmlns:xsd="http://www.w3.org/2001/XMLSchema" xmlns:xs="http://www.w3.org/2001/XMLSchema" xmlns:p="http://schemas.microsoft.com/office/2006/metadata/properties" xmlns:ns2="0edb4137-9db9-4fa7-a01c-731e41dc6eab" xmlns:ns3="2f112164-a3f3-4c55-84de-3ec87031cb92" targetNamespace="http://schemas.microsoft.com/office/2006/metadata/properties" ma:root="true" ma:fieldsID="5f5211e120460035449af37b25783f78" ns2:_="" ns3:_="">
    <xsd:import namespace="0edb4137-9db9-4fa7-a01c-731e41dc6eab"/>
    <xsd:import namespace="2f112164-a3f3-4c55-84de-3ec87031cb9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db4137-9db9-4fa7-a01c-731e41dc6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7105276-6bd7-482f-8433-45e1cb8fab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112164-a3f3-4c55-84de-3ec87031cb9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0279bf-15c1-4099-9beb-475ba3836e6f}" ma:internalName="TaxCatchAll" ma:showField="CatchAllData" ma:web="2f112164-a3f3-4c55-84de-3ec87031c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f112164-a3f3-4c55-84de-3ec87031cb92" xsi:nil="true"/>
    <lcf76f155ced4ddcb4097134ff3c332f xmlns="0edb4137-9db9-4fa7-a01c-731e41dc6e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1B08247-CE91-4C96-A165-E5591038C182}"/>
</file>

<file path=customXml/itemProps2.xml><?xml version="1.0" encoding="utf-8"?>
<ds:datastoreItem xmlns:ds="http://schemas.openxmlformats.org/officeDocument/2006/customXml" ds:itemID="{5B8B1E4D-425D-4A46-A17B-DF6566B92D82}"/>
</file>

<file path=customXml/itemProps3.xml><?xml version="1.0" encoding="utf-8"?>
<ds:datastoreItem xmlns:ds="http://schemas.openxmlformats.org/officeDocument/2006/customXml" ds:itemID="{1C264BB3-B1CD-4DE0-939C-77601656B6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Capital gains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SACHIN DV</cp:lastModifiedBy>
  <dcterms:created xsi:type="dcterms:W3CDTF">2025-04-01T01:42:32Z</dcterms:created>
  <dcterms:modified xsi:type="dcterms:W3CDTF">2025-08-14T07:41:24Z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0x01010071A22C8C24471D43973AF2635412B01B</vt:lpwstr>
  </property>
</Properties>
</file>